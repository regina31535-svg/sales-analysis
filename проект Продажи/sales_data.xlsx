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4856b4fc257ec9/Desktop/системный анализ/проект Продажи/"/>
    </mc:Choice>
  </mc:AlternateContent>
  <xr:revisionPtr revIDLastSave="23" documentId="8_{40A1A05E-2AE6-48BA-B166-26DBEDEAB2C5}" xr6:coauthVersionLast="47" xr6:coauthVersionMax="47" xr10:uidLastSave="{B35B81C0-800B-405F-BCDC-DB0BBEEA8DE1}"/>
  <bookViews>
    <workbookView xWindow="-93" yWindow="-93" windowWidth="20666" windowHeight="12266" firstSheet="2" activeTab="2" xr2:uid="{40E35D94-01C3-4212-B2AC-CA2B6823D999}"/>
  </bookViews>
  <sheets>
    <sheet name="Выручка по категориям" sheetId="4" r:id="rId1"/>
    <sheet name="Общая выручка" sheetId="3" r:id="rId2"/>
    <sheet name="Топ-5 продуктов" sheetId="13" r:id="rId3"/>
    <sheet name="Продажи по месяцам" sheetId="9" r:id="rId4"/>
    <sheet name="sales_data" sheetId="2" r:id="rId5"/>
  </sheets>
  <externalReferences>
    <externalReference r:id="rId6"/>
  </externalReferences>
  <definedNames>
    <definedName name="ExternalData_1" localSheetId="4" hidden="1">sales_data!$A$1:$O$1001</definedName>
  </definedNames>
  <calcPr calcId="191029"/>
  <pivotCaches>
    <pivotCache cacheId="7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74" i="2" l="1"/>
  <c r="N662" i="2"/>
  <c r="O662" i="2"/>
  <c r="O774" i="2"/>
  <c r="N752" i="2"/>
  <c r="O752" i="2"/>
  <c r="N938" i="2"/>
  <c r="O938" i="2"/>
  <c r="N806" i="2"/>
  <c r="O806" i="2"/>
  <c r="N915" i="2"/>
  <c r="O915" i="2"/>
  <c r="N931" i="2"/>
  <c r="O931" i="2"/>
  <c r="N717" i="2"/>
  <c r="O717" i="2"/>
  <c r="N31" i="2"/>
  <c r="O31" i="2"/>
  <c r="N802" i="2"/>
  <c r="O802" i="2"/>
  <c r="N849" i="2"/>
  <c r="O849" i="2"/>
  <c r="N665" i="2"/>
  <c r="O665" i="2"/>
  <c r="N535" i="2"/>
  <c r="O535" i="2"/>
  <c r="N754" i="2"/>
  <c r="O754" i="2"/>
  <c r="N66" i="2"/>
  <c r="O66" i="2"/>
  <c r="N464" i="2"/>
  <c r="O464" i="2"/>
  <c r="N437" i="2"/>
  <c r="O437" i="2"/>
  <c r="N874" i="2"/>
  <c r="O874" i="2"/>
  <c r="N78" i="2"/>
  <c r="O78" i="2"/>
  <c r="N903" i="2"/>
  <c r="O903" i="2"/>
  <c r="N567" i="2"/>
  <c r="O567" i="2"/>
  <c r="N920" i="2"/>
  <c r="O920" i="2"/>
  <c r="N119" i="2"/>
  <c r="O119" i="2"/>
  <c r="N112" i="2"/>
  <c r="O112" i="2"/>
  <c r="N988" i="2"/>
  <c r="O988" i="2"/>
  <c r="N684" i="2"/>
  <c r="O684" i="2"/>
  <c r="N549" i="2"/>
  <c r="O549" i="2"/>
  <c r="N172" i="2"/>
  <c r="O172" i="2"/>
  <c r="N45" i="2"/>
  <c r="O45" i="2"/>
  <c r="N875" i="2"/>
  <c r="O875" i="2"/>
  <c r="N114" i="2"/>
  <c r="O114" i="2"/>
  <c r="N840" i="2"/>
  <c r="O840" i="2"/>
  <c r="N206" i="2"/>
  <c r="O206" i="2"/>
  <c r="N517" i="2"/>
  <c r="O517" i="2"/>
  <c r="N971" i="2"/>
  <c r="O971" i="2"/>
  <c r="N282" i="2"/>
  <c r="O282" i="2"/>
  <c r="N901" i="2"/>
  <c r="O901" i="2"/>
  <c r="N46" i="2"/>
  <c r="O46" i="2"/>
  <c r="N942" i="2"/>
  <c r="O942" i="2"/>
  <c r="N126" i="2"/>
  <c r="O126" i="2"/>
  <c r="N984" i="2"/>
  <c r="O984" i="2"/>
  <c r="N215" i="2"/>
  <c r="O215" i="2"/>
  <c r="N736" i="2"/>
  <c r="O736" i="2"/>
  <c r="N858" i="2"/>
  <c r="O858" i="2"/>
  <c r="N825" i="2"/>
  <c r="O825" i="2"/>
  <c r="N53" i="2"/>
  <c r="O53" i="2"/>
  <c r="N128" i="2"/>
  <c r="O128" i="2"/>
  <c r="N161" i="2"/>
  <c r="O161" i="2"/>
  <c r="N652" i="2"/>
  <c r="O652" i="2"/>
  <c r="N499" i="2"/>
  <c r="O499" i="2"/>
  <c r="N674" i="2"/>
  <c r="O674" i="2"/>
  <c r="N827" i="2"/>
  <c r="O827" i="2"/>
  <c r="N705" i="2"/>
  <c r="O705" i="2"/>
  <c r="N985" i="2"/>
  <c r="O985" i="2"/>
  <c r="N83" i="2"/>
  <c r="O83" i="2"/>
  <c r="N514" i="2"/>
  <c r="O514" i="2"/>
  <c r="N706" i="2"/>
  <c r="O706" i="2"/>
  <c r="N337" i="2"/>
  <c r="O337" i="2"/>
  <c r="N81" i="2"/>
  <c r="O81" i="2"/>
  <c r="N486" i="2"/>
  <c r="O486" i="2"/>
  <c r="N655" i="2"/>
  <c r="O655" i="2"/>
  <c r="N744" i="2"/>
  <c r="O744" i="2"/>
  <c r="N960" i="2"/>
  <c r="O960" i="2"/>
  <c r="N218" i="2"/>
  <c r="O218" i="2"/>
  <c r="N185" i="2"/>
  <c r="O185" i="2"/>
  <c r="N758" i="2"/>
  <c r="O758" i="2"/>
  <c r="N614" i="2"/>
  <c r="O614" i="2"/>
  <c r="N856" i="2"/>
  <c r="O856" i="2"/>
  <c r="N600" i="2"/>
  <c r="O600" i="2"/>
  <c r="N693" i="2"/>
  <c r="O693" i="2"/>
  <c r="N606" i="2"/>
  <c r="O606" i="2"/>
  <c r="N249" i="2"/>
  <c r="O249" i="2"/>
  <c r="N220" i="2"/>
  <c r="O220" i="2"/>
  <c r="N360" i="2"/>
  <c r="O360" i="2"/>
  <c r="N250" i="2"/>
  <c r="O250" i="2"/>
  <c r="N641" i="2"/>
  <c r="O641" i="2"/>
  <c r="N916" i="2"/>
  <c r="O916" i="2"/>
  <c r="N946" i="2"/>
  <c r="O946" i="2"/>
  <c r="N879" i="2"/>
  <c r="O879" i="2"/>
  <c r="N511" i="2"/>
  <c r="O511" i="2"/>
  <c r="N105" i="2"/>
  <c r="O105" i="2"/>
  <c r="N663" i="2"/>
  <c r="O663" i="2"/>
  <c r="N179" i="2"/>
  <c r="O179" i="2"/>
  <c r="N718" i="2"/>
  <c r="O718" i="2"/>
  <c r="N426" i="2"/>
  <c r="O426" i="2"/>
  <c r="N765" i="2"/>
  <c r="O765" i="2"/>
  <c r="N607" i="2"/>
  <c r="O607" i="2"/>
  <c r="N766" i="2"/>
  <c r="O766" i="2"/>
  <c r="N918" i="2"/>
  <c r="O918" i="2"/>
  <c r="N699" i="2"/>
  <c r="O699" i="2"/>
  <c r="N99" i="2"/>
  <c r="O99" i="2"/>
  <c r="N919" i="2"/>
  <c r="O919" i="2"/>
  <c r="N147" i="2"/>
  <c r="O147" i="2"/>
  <c r="N435" i="2"/>
  <c r="O435" i="2"/>
  <c r="N467" i="2"/>
  <c r="O467" i="2"/>
  <c r="N351" i="2"/>
  <c r="O351" i="2"/>
  <c r="N137" i="2"/>
  <c r="O137" i="2"/>
  <c r="N880" i="2"/>
  <c r="O880" i="2"/>
  <c r="N909" i="2"/>
  <c r="O909" i="2"/>
  <c r="N859" i="2"/>
  <c r="O859" i="2"/>
  <c r="N311" i="2"/>
  <c r="O311" i="2"/>
  <c r="N852" i="2"/>
  <c r="O852" i="2"/>
  <c r="N236" i="2"/>
  <c r="O236" i="2"/>
  <c r="N458" i="2"/>
  <c r="O458" i="2"/>
  <c r="N347" i="2"/>
  <c r="O347" i="2"/>
  <c r="N312" i="2"/>
  <c r="O312" i="2"/>
  <c r="N948" i="2"/>
  <c r="O948" i="2"/>
  <c r="N27" i="2"/>
  <c r="O27" i="2"/>
  <c r="N881" i="2"/>
  <c r="O881" i="2"/>
  <c r="N562" i="2"/>
  <c r="O562" i="2"/>
  <c r="N650" i="2"/>
  <c r="O650" i="2"/>
  <c r="N539" i="2"/>
  <c r="O539" i="2"/>
  <c r="N560" i="2"/>
  <c r="O560" i="2"/>
  <c r="N476" i="2"/>
  <c r="O476" i="2"/>
  <c r="N266" i="2"/>
  <c r="O266" i="2"/>
  <c r="N4" i="2"/>
  <c r="O4" i="2"/>
  <c r="N767" i="2"/>
  <c r="O767" i="2"/>
  <c r="N21" i="2"/>
  <c r="O21" i="2"/>
  <c r="N610" i="2"/>
  <c r="O610" i="2"/>
  <c r="N357" i="2"/>
  <c r="O357" i="2"/>
  <c r="N649" i="2"/>
  <c r="O649" i="2"/>
  <c r="N809" i="2"/>
  <c r="O809" i="2"/>
  <c r="N834" i="2"/>
  <c r="O834" i="2"/>
  <c r="N143" i="2"/>
  <c r="O143" i="2"/>
  <c r="N313" i="2"/>
  <c r="O313" i="2"/>
  <c r="N961" i="2"/>
  <c r="O961" i="2"/>
  <c r="N481" i="2"/>
  <c r="O481" i="2"/>
  <c r="N889" i="2"/>
  <c r="O889" i="2"/>
  <c r="N541" i="2"/>
  <c r="O541" i="2"/>
  <c r="N308" i="2"/>
  <c r="O308" i="2"/>
  <c r="N267" i="2"/>
  <c r="O267" i="2"/>
  <c r="N418" i="2"/>
  <c r="O418" i="2"/>
  <c r="N32" i="2"/>
  <c r="O32" i="2"/>
  <c r="N978" i="2"/>
  <c r="O978" i="2"/>
  <c r="N315" i="2"/>
  <c r="O315" i="2"/>
  <c r="N571" i="2"/>
  <c r="O571" i="2"/>
  <c r="N719" i="2"/>
  <c r="O719" i="2"/>
  <c r="N669" i="2"/>
  <c r="O669" i="2"/>
  <c r="N816" i="2"/>
  <c r="O816" i="2"/>
  <c r="N275" i="2"/>
  <c r="O275" i="2"/>
  <c r="N923" i="2"/>
  <c r="O923" i="2"/>
  <c r="N394" i="2"/>
  <c r="O394" i="2"/>
  <c r="N714" i="2"/>
  <c r="O714" i="2"/>
  <c r="N443" i="2"/>
  <c r="O443" i="2"/>
  <c r="N997" i="2"/>
  <c r="O997" i="2"/>
  <c r="N430" i="2"/>
  <c r="O430" i="2"/>
  <c r="N62" i="2"/>
  <c r="O62" i="2"/>
  <c r="N694" i="2"/>
  <c r="O694" i="2"/>
  <c r="N966" i="2"/>
  <c r="O966" i="2"/>
  <c r="N568" i="2"/>
  <c r="O568" i="2"/>
  <c r="N710" i="2"/>
  <c r="O710" i="2"/>
  <c r="N365" i="2"/>
  <c r="O365" i="2"/>
  <c r="N935" i="2"/>
  <c r="O935" i="2"/>
  <c r="N344" i="2"/>
  <c r="O344" i="2"/>
  <c r="N801" i="2"/>
  <c r="O801" i="2"/>
  <c r="N847" i="2"/>
  <c r="O847" i="2"/>
  <c r="N305" i="2"/>
  <c r="O305" i="2"/>
  <c r="N755" i="2"/>
  <c r="O755" i="2"/>
  <c r="N373" i="2"/>
  <c r="O373" i="2"/>
  <c r="N947" i="2"/>
  <c r="O947" i="2"/>
  <c r="N810" i="2"/>
  <c r="O810" i="2"/>
  <c r="N127" i="2"/>
  <c r="O127" i="2"/>
  <c r="N876" i="2"/>
  <c r="O876" i="2"/>
  <c r="N9" i="2"/>
  <c r="O9" i="2"/>
  <c r="N924" i="2"/>
  <c r="O924" i="2"/>
  <c r="N700" i="2"/>
  <c r="O700" i="2"/>
  <c r="N841" i="2"/>
  <c r="O841" i="2"/>
  <c r="N939" i="2"/>
  <c r="O939" i="2"/>
  <c r="N279" i="2"/>
  <c r="O279" i="2"/>
  <c r="N387" i="2"/>
  <c r="O387" i="2"/>
  <c r="N848" i="2"/>
  <c r="O848" i="2"/>
  <c r="N17" i="2"/>
  <c r="O17" i="2"/>
  <c r="N304" i="2"/>
  <c r="O304" i="2"/>
  <c r="N555" i="2"/>
  <c r="O555" i="2"/>
  <c r="N618" i="2"/>
  <c r="O618" i="2"/>
  <c r="N164" i="2"/>
  <c r="O164" i="2"/>
  <c r="N160" i="2"/>
  <c r="O160" i="2"/>
  <c r="N745" i="2"/>
  <c r="O745" i="2"/>
  <c r="N186" i="2"/>
  <c r="O186" i="2"/>
  <c r="N526" i="2"/>
  <c r="O526" i="2"/>
  <c r="N187" i="2"/>
  <c r="O187" i="2"/>
  <c r="N381" i="2"/>
  <c r="O381" i="2"/>
  <c r="N800" i="2"/>
  <c r="O800" i="2"/>
  <c r="N775" i="2"/>
  <c r="O775" i="2"/>
  <c r="N173" i="2"/>
  <c r="O173" i="2"/>
  <c r="N221" i="2"/>
  <c r="O221" i="2"/>
  <c r="N157" i="2"/>
  <c r="O157" i="2"/>
  <c r="N22" i="2"/>
  <c r="O22" i="2"/>
  <c r="N107" i="2"/>
  <c r="O107" i="2"/>
  <c r="N134" i="2"/>
  <c r="O134" i="2"/>
  <c r="N949" i="2"/>
  <c r="O949" i="2"/>
  <c r="N251" i="2"/>
  <c r="O251" i="2"/>
  <c r="N67" i="2"/>
  <c r="O67" i="2"/>
  <c r="N262" i="2"/>
  <c r="O262" i="2"/>
  <c r="N415" i="2"/>
  <c r="O415" i="2"/>
  <c r="N39" i="2"/>
  <c r="O39" i="2"/>
  <c r="N28" i="2"/>
  <c r="O28" i="2"/>
  <c r="N725" i="2"/>
  <c r="O725" i="2"/>
  <c r="N594" i="2"/>
  <c r="O594" i="2"/>
  <c r="N287" i="2"/>
  <c r="O287" i="2"/>
  <c r="N542" i="2"/>
  <c r="O542" i="2"/>
  <c r="N491" i="2"/>
  <c r="O491" i="2"/>
  <c r="N733" i="2"/>
  <c r="O733" i="2"/>
  <c r="N470" i="2"/>
  <c r="O470" i="2"/>
  <c r="N412" i="2"/>
  <c r="O412" i="2"/>
  <c r="N545" i="2"/>
  <c r="O545" i="2"/>
  <c r="N954" i="2"/>
  <c r="O954" i="2"/>
  <c r="N141" i="2"/>
  <c r="O141" i="2"/>
  <c r="N321" i="2"/>
  <c r="O321" i="2"/>
  <c r="N853" i="2"/>
  <c r="O853" i="2"/>
  <c r="N142" i="2"/>
  <c r="O142" i="2"/>
  <c r="N521" i="2"/>
  <c r="O521" i="2"/>
  <c r="N38" i="2"/>
  <c r="O38" i="2"/>
  <c r="N629" i="2"/>
  <c r="O629" i="2"/>
  <c r="N300" i="2"/>
  <c r="O300" i="2"/>
  <c r="N5" i="2"/>
  <c r="O5" i="2"/>
  <c r="N322" i="2"/>
  <c r="O322" i="2"/>
  <c r="N508" i="2"/>
  <c r="O508" i="2"/>
  <c r="N240" i="2"/>
  <c r="O240" i="2"/>
  <c r="N536" i="2"/>
  <c r="O536" i="2"/>
  <c r="N23" i="2"/>
  <c r="O23" i="2"/>
  <c r="N534" i="2"/>
  <c r="O534" i="2"/>
  <c r="N993" i="2"/>
  <c r="O993" i="2"/>
  <c r="N583" i="2"/>
  <c r="O583" i="2"/>
  <c r="N811" i="2"/>
  <c r="O811" i="2"/>
  <c r="N445" i="2"/>
  <c r="O445" i="2"/>
  <c r="N990" i="2"/>
  <c r="O990" i="2"/>
  <c r="N500" i="2"/>
  <c r="O500" i="2"/>
  <c r="N950" i="2"/>
  <c r="O950" i="2"/>
  <c r="N237" i="2"/>
  <c r="O237" i="2"/>
  <c r="N120" i="2"/>
  <c r="O120" i="2"/>
  <c r="N711" i="2"/>
  <c r="O711" i="2"/>
  <c r="N395" i="2"/>
  <c r="O395" i="2"/>
  <c r="N712" i="2"/>
  <c r="O712" i="2"/>
  <c r="N259" i="2"/>
  <c r="O259" i="2"/>
  <c r="N563" i="2"/>
  <c r="O563" i="2"/>
  <c r="N74" i="2"/>
  <c r="O74" i="2"/>
  <c r="N260" i="2"/>
  <c r="O260" i="2"/>
  <c r="N342" i="2"/>
  <c r="O342" i="2"/>
  <c r="N301" i="2"/>
  <c r="O301" i="2"/>
  <c r="N382" i="2"/>
  <c r="O382" i="2"/>
  <c r="N180" i="2"/>
  <c r="O180" i="2"/>
  <c r="N957" i="2"/>
  <c r="O957" i="2"/>
  <c r="N158" i="2"/>
  <c r="O158" i="2"/>
  <c r="N477" i="2"/>
  <c r="O477" i="2"/>
  <c r="N263" i="2"/>
  <c r="O263" i="2"/>
  <c r="N327" i="2"/>
  <c r="O327" i="2"/>
  <c r="N968" i="2"/>
  <c r="O968" i="2"/>
  <c r="N812" i="2"/>
  <c r="O812" i="2"/>
  <c r="N165" i="2"/>
  <c r="O165" i="2"/>
  <c r="N441" i="2"/>
  <c r="O441" i="2"/>
  <c r="N346" i="2"/>
  <c r="O346" i="2"/>
  <c r="N363" i="2"/>
  <c r="O363" i="2"/>
  <c r="N462" i="2"/>
  <c r="O462" i="2"/>
  <c r="N740" i="2"/>
  <c r="O740" i="2"/>
  <c r="N200" i="2"/>
  <c r="O200" i="2"/>
  <c r="N494" i="2"/>
  <c r="O494" i="2"/>
  <c r="N24" i="2"/>
  <c r="O24" i="2"/>
  <c r="N815" i="2"/>
  <c r="O815" i="2"/>
  <c r="N294" i="2"/>
  <c r="O294" i="2"/>
  <c r="N860" i="2"/>
  <c r="O860" i="2"/>
  <c r="N509" i="2"/>
  <c r="O509" i="2"/>
  <c r="N783" i="2"/>
  <c r="O783" i="2"/>
  <c r="N982" i="2"/>
  <c r="O982" i="2"/>
  <c r="N242" i="2"/>
  <c r="O242" i="2"/>
  <c r="N582" i="2"/>
  <c r="O582" i="2"/>
  <c r="N302" i="2"/>
  <c r="O302" i="2"/>
  <c r="N10" i="2"/>
  <c r="O10" i="2"/>
  <c r="N227" i="2"/>
  <c r="O227" i="2"/>
  <c r="N759" i="2"/>
  <c r="O759" i="2"/>
  <c r="N450" i="2"/>
  <c r="O450" i="2"/>
  <c r="N436" i="2"/>
  <c r="O436" i="2"/>
  <c r="N803" i="2"/>
  <c r="O803" i="2"/>
  <c r="N863" i="2"/>
  <c r="O863" i="2"/>
  <c r="N391" i="2"/>
  <c r="O391" i="2"/>
  <c r="N619" i="2"/>
  <c r="O619" i="2"/>
  <c r="N291" i="2"/>
  <c r="O291" i="2"/>
  <c r="N132" i="2"/>
  <c r="O132" i="2"/>
  <c r="N413" i="2"/>
  <c r="O413" i="2"/>
  <c r="N676" i="2"/>
  <c r="O676" i="2"/>
  <c r="N994" i="2"/>
  <c r="O994" i="2"/>
  <c r="N753" i="2"/>
  <c r="O753" i="2"/>
  <c r="N595" i="2"/>
  <c r="O595" i="2"/>
  <c r="N569" i="2"/>
  <c r="O569" i="2"/>
  <c r="N742" i="2"/>
  <c r="O742" i="2"/>
  <c r="N877" i="2"/>
  <c r="O877" i="2"/>
  <c r="N18" i="2"/>
  <c r="O18" i="2"/>
  <c r="N211" i="2"/>
  <c r="O211" i="2"/>
  <c r="N167" i="2"/>
  <c r="O167" i="2"/>
  <c r="N878" i="2"/>
  <c r="O878" i="2"/>
  <c r="N292" i="2"/>
  <c r="O292" i="2"/>
  <c r="N907" i="2"/>
  <c r="O907" i="2"/>
  <c r="N515" i="2"/>
  <c r="O515" i="2"/>
  <c r="N96" i="2"/>
  <c r="O96" i="2"/>
  <c r="N438" i="2"/>
  <c r="O438" i="2"/>
  <c r="N577" i="2"/>
  <c r="O577" i="2"/>
  <c r="N616" i="2"/>
  <c r="O616" i="2"/>
  <c r="N958" i="2"/>
  <c r="O958" i="2"/>
  <c r="N864" i="2"/>
  <c r="O864" i="2"/>
  <c r="N808" i="2"/>
  <c r="O808" i="2"/>
  <c r="N796" i="2"/>
  <c r="O796" i="2"/>
  <c r="N679" i="2"/>
  <c r="O679" i="2"/>
  <c r="N95" i="2"/>
  <c r="O95" i="2"/>
  <c r="N54" i="2"/>
  <c r="O54" i="2"/>
  <c r="N760" i="2"/>
  <c r="O760" i="2"/>
  <c r="N100" i="2"/>
  <c r="O100" i="2"/>
  <c r="N890" i="2"/>
  <c r="O890" i="2"/>
  <c r="N713" i="2"/>
  <c r="O713" i="2"/>
  <c r="N212" i="2"/>
  <c r="O212" i="2"/>
  <c r="N444" i="2"/>
  <c r="O444" i="2"/>
  <c r="N967" i="2"/>
  <c r="O967" i="2"/>
  <c r="N596" i="2"/>
  <c r="O596" i="2"/>
  <c r="N522" i="2"/>
  <c r="O522" i="2"/>
  <c r="N36" i="2"/>
  <c r="O36" i="2"/>
  <c r="N306" i="2"/>
  <c r="O306" i="2"/>
  <c r="N991" i="2"/>
  <c r="O991" i="2"/>
  <c r="N463" i="2"/>
  <c r="O463" i="2"/>
  <c r="N495" i="2"/>
  <c r="O495" i="2"/>
  <c r="N446" i="2"/>
  <c r="O446" i="2"/>
  <c r="N631" i="2"/>
  <c r="O631" i="2"/>
  <c r="N485" i="2"/>
  <c r="O485" i="2"/>
  <c r="N779" i="2"/>
  <c r="O779" i="2"/>
  <c r="N431" i="2"/>
  <c r="O431" i="2"/>
  <c r="N561" i="2"/>
  <c r="O561" i="2"/>
  <c r="N361" i="2"/>
  <c r="O361" i="2"/>
  <c r="N953" i="2"/>
  <c r="O953" i="2"/>
  <c r="N108" i="2"/>
  <c r="O108" i="2"/>
  <c r="N59" i="2"/>
  <c r="O59" i="2"/>
  <c r="N723" i="2"/>
  <c r="O723" i="2"/>
  <c r="N854" i="2"/>
  <c r="O854" i="2"/>
  <c r="N588" i="2"/>
  <c r="O588" i="2"/>
  <c r="N207" i="2"/>
  <c r="O207" i="2"/>
  <c r="N556" i="2"/>
  <c r="O556" i="2"/>
  <c r="N162" i="2"/>
  <c r="O162" i="2"/>
  <c r="N2" i="2"/>
  <c r="O2" i="2"/>
  <c r="N358" i="2"/>
  <c r="O358" i="2"/>
  <c r="N817" i="2"/>
  <c r="O817" i="2"/>
  <c r="N570" i="2"/>
  <c r="O570" i="2"/>
  <c r="N799" i="2"/>
  <c r="O799" i="2"/>
  <c r="N983" i="2"/>
  <c r="O983" i="2"/>
  <c r="N65" i="2"/>
  <c r="O65" i="2"/>
  <c r="N252" i="2"/>
  <c r="O252" i="2"/>
  <c r="N188" i="2"/>
  <c r="O188" i="2"/>
  <c r="N487" i="2"/>
  <c r="O487" i="2"/>
  <c r="N670" i="2"/>
  <c r="O670" i="2"/>
  <c r="N41" i="2"/>
  <c r="O41" i="2"/>
  <c r="N90" i="2"/>
  <c r="O90" i="2"/>
  <c r="N940" i="2"/>
  <c r="O940" i="2"/>
  <c r="N288" i="2"/>
  <c r="O288" i="2"/>
  <c r="N369" i="2"/>
  <c r="O369" i="2"/>
  <c r="N587" i="2"/>
  <c r="O587" i="2"/>
  <c r="N328" i="2"/>
  <c r="O328" i="2"/>
  <c r="N589" i="2"/>
  <c r="O589" i="2"/>
  <c r="N761" i="2"/>
  <c r="O761" i="2"/>
  <c r="N777" i="2"/>
  <c r="O777" i="2"/>
  <c r="N998" i="2"/>
  <c r="O998" i="2"/>
  <c r="N307" i="2"/>
  <c r="O307" i="2"/>
  <c r="N579" i="2"/>
  <c r="O579" i="2"/>
  <c r="N229" i="2"/>
  <c r="O229" i="2"/>
  <c r="N975" i="2"/>
  <c r="O975" i="2"/>
  <c r="N168" i="2"/>
  <c r="O168" i="2"/>
  <c r="N478" i="2"/>
  <c r="O478" i="2"/>
  <c r="N453" i="2"/>
  <c r="O453" i="2"/>
  <c r="N374" i="2"/>
  <c r="O374" i="2"/>
  <c r="N228" i="2"/>
  <c r="O228" i="2"/>
  <c r="N681" i="2"/>
  <c r="O681" i="2"/>
  <c r="N253" i="2"/>
  <c r="O253" i="2"/>
  <c r="N715" i="2"/>
  <c r="O715" i="2"/>
  <c r="N191" i="2"/>
  <c r="O191" i="2"/>
  <c r="N192" i="2"/>
  <c r="O192" i="2"/>
  <c r="N396" i="2"/>
  <c r="O396" i="2"/>
  <c r="N222" i="2"/>
  <c r="O222" i="2"/>
  <c r="N375" i="2"/>
  <c r="O375" i="2"/>
  <c r="N102" i="2"/>
  <c r="O102" i="2"/>
  <c r="N471" i="2"/>
  <c r="O471" i="2"/>
  <c r="N620" i="2"/>
  <c r="O620" i="2"/>
  <c r="N838" i="2"/>
  <c r="O838" i="2"/>
  <c r="N805" i="2"/>
  <c r="O805" i="2"/>
  <c r="N533" i="2"/>
  <c r="O533" i="2"/>
  <c r="N51" i="2"/>
  <c r="O51" i="2"/>
  <c r="N75" i="2"/>
  <c r="O75" i="2"/>
  <c r="N959" i="2"/>
  <c r="O959" i="2"/>
  <c r="N472" i="2"/>
  <c r="O472" i="2"/>
  <c r="N152" i="2"/>
  <c r="O152" i="2"/>
  <c r="N941" i="2"/>
  <c r="O941" i="2"/>
  <c r="N795" i="2"/>
  <c r="O795" i="2"/>
  <c r="N388" i="2"/>
  <c r="O388" i="2"/>
  <c r="N79" i="2"/>
  <c r="O79" i="2"/>
  <c r="N512" i="2"/>
  <c r="O512" i="2"/>
  <c r="N110" i="2"/>
  <c r="O110" i="2"/>
  <c r="N857" i="2"/>
  <c r="O857" i="2"/>
  <c r="N427" i="2"/>
  <c r="O427" i="2"/>
  <c r="N466" i="2"/>
  <c r="O466" i="2"/>
  <c r="N111" i="2"/>
  <c r="O111" i="2"/>
  <c r="N621" i="2"/>
  <c r="O621" i="2"/>
  <c r="N144" i="2"/>
  <c r="O144" i="2"/>
  <c r="N439" i="2"/>
  <c r="O439" i="2"/>
  <c r="N345" i="2"/>
  <c r="O345" i="2"/>
  <c r="N314" i="2"/>
  <c r="O314" i="2"/>
  <c r="N590" i="2"/>
  <c r="O590" i="2"/>
  <c r="N217" i="2"/>
  <c r="O217" i="2"/>
  <c r="N518" i="2"/>
  <c r="O518" i="2"/>
  <c r="N163" i="2"/>
  <c r="O163" i="2"/>
  <c r="N265" i="2"/>
  <c r="O265" i="2"/>
  <c r="N660" i="2"/>
  <c r="O660" i="2"/>
  <c r="N855" i="2"/>
  <c r="O855" i="2"/>
  <c r="N951" i="2"/>
  <c r="O951" i="2"/>
  <c r="N608" i="2"/>
  <c r="O608" i="2"/>
  <c r="N737" i="2"/>
  <c r="O737" i="2"/>
  <c r="N473" i="2"/>
  <c r="O473" i="2"/>
  <c r="N797" i="2"/>
  <c r="O797" i="2"/>
  <c r="N416" i="2"/>
  <c r="O416" i="2"/>
  <c r="N474" i="2"/>
  <c r="O474" i="2"/>
  <c r="N354" i="2"/>
  <c r="O354" i="2"/>
  <c r="N677" i="2"/>
  <c r="O677" i="2"/>
  <c r="N193" i="2"/>
  <c r="O193" i="2"/>
  <c r="N696" i="2"/>
  <c r="O696" i="2"/>
  <c r="N269" i="2"/>
  <c r="O269" i="2"/>
  <c r="N129" i="2"/>
  <c r="O129" i="2"/>
  <c r="N892" i="2"/>
  <c r="O892" i="2"/>
  <c r="N524" i="2"/>
  <c r="O524" i="2"/>
  <c r="N61" i="2"/>
  <c r="O61" i="2"/>
  <c r="N768" i="2"/>
  <c r="O768" i="2"/>
  <c r="N76" i="2"/>
  <c r="O76" i="2"/>
  <c r="N989" i="2"/>
  <c r="O989" i="2"/>
  <c r="N682" i="2"/>
  <c r="O682" i="2"/>
  <c r="N270" i="2"/>
  <c r="O270" i="2"/>
  <c r="N496" i="2"/>
  <c r="O496" i="2"/>
  <c r="N664" i="2"/>
  <c r="O664" i="2"/>
  <c r="N362" i="2"/>
  <c r="O362" i="2"/>
  <c r="N153" i="2"/>
  <c r="O153" i="2"/>
  <c r="N937" i="2"/>
  <c r="O937" i="2"/>
  <c r="N213" i="2"/>
  <c r="O213" i="2"/>
  <c r="N285" i="2"/>
  <c r="O285" i="2"/>
  <c r="N13" i="2"/>
  <c r="O13" i="2"/>
  <c r="N729" i="2"/>
  <c r="O729" i="2"/>
  <c r="N190" i="2"/>
  <c r="O190" i="2"/>
  <c r="N573" i="2"/>
  <c r="O573" i="2"/>
  <c r="N599" i="2"/>
  <c r="O599" i="2"/>
  <c r="N460" i="2"/>
  <c r="O460" i="2"/>
  <c r="N145" i="2"/>
  <c r="O145" i="2"/>
  <c r="N833" i="2"/>
  <c r="O833" i="2"/>
  <c r="N807" i="2"/>
  <c r="O807" i="2"/>
  <c r="N174" i="2"/>
  <c r="O174" i="2"/>
  <c r="N219" i="2"/>
  <c r="O219" i="2"/>
  <c r="N969" i="2"/>
  <c r="O969" i="2"/>
  <c r="N528" i="2"/>
  <c r="O528" i="2"/>
  <c r="N818" i="2"/>
  <c r="O818" i="2"/>
  <c r="N497" i="2"/>
  <c r="O497" i="2"/>
  <c r="N572" i="2"/>
  <c r="O572" i="2"/>
  <c r="N603" i="2"/>
  <c r="O603" i="2"/>
  <c r="N33" i="2"/>
  <c r="O33" i="2"/>
  <c r="N82" i="2"/>
  <c r="O82" i="2"/>
  <c r="N784" i="2"/>
  <c r="O784" i="2"/>
  <c r="N414" i="2"/>
  <c r="O414" i="2"/>
  <c r="N550" i="2"/>
  <c r="O550" i="2"/>
  <c r="N124" i="2"/>
  <c r="O124" i="2"/>
  <c r="N89" i="2"/>
  <c r="O89" i="2"/>
  <c r="N578" i="2"/>
  <c r="O578" i="2"/>
  <c r="N678" i="2"/>
  <c r="O678" i="2"/>
  <c r="N257" i="2"/>
  <c r="O257" i="2"/>
  <c r="N366" i="2"/>
  <c r="O366" i="2"/>
  <c r="N780" i="2"/>
  <c r="O780" i="2"/>
  <c r="N844" i="2"/>
  <c r="O844" i="2"/>
  <c r="N865" i="2"/>
  <c r="O865" i="2"/>
  <c r="N241" i="2"/>
  <c r="O241" i="2"/>
  <c r="N721" i="2"/>
  <c r="O721" i="2"/>
  <c r="N364" i="2"/>
  <c r="O364" i="2"/>
  <c r="N286" i="2"/>
  <c r="O286" i="2"/>
  <c r="N383" i="2"/>
  <c r="O383" i="2"/>
  <c r="N661" i="2"/>
  <c r="O661" i="2"/>
  <c r="N823" i="2"/>
  <c r="O823" i="2"/>
  <c r="N900" i="2"/>
  <c r="O900" i="2"/>
  <c r="N378" i="2"/>
  <c r="O378" i="2"/>
  <c r="N622" i="2"/>
  <c r="O622" i="2"/>
  <c r="N658" i="2"/>
  <c r="O658" i="2"/>
  <c r="N91" i="2"/>
  <c r="O91" i="2"/>
  <c r="N14" i="2"/>
  <c r="O14" i="2"/>
  <c r="N197" i="2"/>
  <c r="O197" i="2"/>
  <c r="N804" i="2"/>
  <c r="O804" i="2"/>
  <c r="N787" i="2"/>
  <c r="O787" i="2"/>
  <c r="N887" i="2"/>
  <c r="O887" i="2"/>
  <c r="N633" i="2"/>
  <c r="O633" i="2"/>
  <c r="N289" i="2"/>
  <c r="O289" i="2"/>
  <c r="N999" i="2"/>
  <c r="O999" i="2"/>
  <c r="N70" i="2"/>
  <c r="O70" i="2"/>
  <c r="N933" i="2"/>
  <c r="O933" i="2"/>
  <c r="N397" i="2"/>
  <c r="O397" i="2"/>
  <c r="N843" i="2"/>
  <c r="O843" i="2"/>
  <c r="N813" i="2"/>
  <c r="O813" i="2"/>
  <c r="N897" i="2"/>
  <c r="O897" i="2"/>
  <c r="N564" i="2"/>
  <c r="O564" i="2"/>
  <c r="N566" i="2"/>
  <c r="O566" i="2"/>
  <c r="N638" i="2"/>
  <c r="O638" i="2"/>
  <c r="N675" i="2"/>
  <c r="O675" i="2"/>
  <c r="N12" i="2"/>
  <c r="O12" i="2"/>
  <c r="N367" i="2"/>
  <c r="O367" i="2"/>
  <c r="N48" i="2"/>
  <c r="O48" i="2"/>
  <c r="N348" i="2"/>
  <c r="O348" i="2"/>
  <c r="N747" i="2"/>
  <c r="O747" i="2"/>
  <c r="N793" i="2"/>
  <c r="O793" i="2"/>
  <c r="N376" i="2"/>
  <c r="O376" i="2"/>
  <c r="N623" i="2"/>
  <c r="O623" i="2"/>
  <c r="N34" i="2"/>
  <c r="O34" i="2"/>
  <c r="N194" i="2"/>
  <c r="O194" i="2"/>
  <c r="N925" i="2"/>
  <c r="O925" i="2"/>
  <c r="N845" i="2"/>
  <c r="O845" i="2"/>
  <c r="N359" i="2"/>
  <c r="O359" i="2"/>
  <c r="N71" i="2"/>
  <c r="O71" i="2"/>
  <c r="N72" i="2"/>
  <c r="O72" i="2"/>
  <c r="N424" i="2"/>
  <c r="O424" i="2"/>
  <c r="N791" i="2"/>
  <c r="O791" i="2"/>
  <c r="N637" i="2"/>
  <c r="O637" i="2"/>
  <c r="N788" i="2"/>
  <c r="O788" i="2"/>
  <c r="N551" i="2"/>
  <c r="O551" i="2"/>
  <c r="N386" i="2"/>
  <c r="O386" i="2"/>
  <c r="N277" i="2"/>
  <c r="O277" i="2"/>
  <c r="N611" i="2"/>
  <c r="O611" i="2"/>
  <c r="N433" i="2"/>
  <c r="O433" i="2"/>
  <c r="N130" i="2"/>
  <c r="O130" i="2"/>
  <c r="N685" i="2"/>
  <c r="O685" i="2"/>
  <c r="N136" i="2"/>
  <c r="O136" i="2"/>
  <c r="N525" i="2"/>
  <c r="O525" i="2"/>
  <c r="N995" i="2"/>
  <c r="O995" i="2"/>
  <c r="N894" i="2"/>
  <c r="O894" i="2"/>
  <c r="N421" i="2"/>
  <c r="O421" i="2"/>
  <c r="N166" i="2"/>
  <c r="O166" i="2"/>
  <c r="N781" i="2"/>
  <c r="O781" i="2"/>
  <c r="N904" i="2"/>
  <c r="O904" i="2"/>
  <c r="N686" i="2"/>
  <c r="O686" i="2"/>
  <c r="N980" i="2"/>
  <c r="O980" i="2"/>
  <c r="N340" i="2"/>
  <c r="O340" i="2"/>
  <c r="N385" i="2"/>
  <c r="O385" i="2"/>
  <c r="N323" i="2"/>
  <c r="O323" i="2"/>
  <c r="N175" i="2"/>
  <c r="O175" i="2"/>
  <c r="N1000" i="2"/>
  <c r="O1000" i="2"/>
  <c r="N782" i="2"/>
  <c r="O782" i="2"/>
  <c r="N77" i="2"/>
  <c r="O77" i="2"/>
  <c r="N113" i="2"/>
  <c r="O113" i="2"/>
  <c r="N320" i="2"/>
  <c r="O320" i="2"/>
  <c r="N972" i="2"/>
  <c r="O972" i="2"/>
  <c r="N80" i="2"/>
  <c r="O80" i="2"/>
  <c r="N835" i="2"/>
  <c r="O835" i="2"/>
  <c r="N558" i="2"/>
  <c r="O558" i="2"/>
  <c r="N601" i="2"/>
  <c r="O601" i="2"/>
  <c r="N456" i="2"/>
  <c r="O456" i="2"/>
  <c r="N580" i="2"/>
  <c r="O580" i="2"/>
  <c r="N451" i="2"/>
  <c r="O451" i="2"/>
  <c r="N256" i="2"/>
  <c r="O256" i="2"/>
  <c r="N928" i="2"/>
  <c r="O928" i="2"/>
  <c r="N708" i="2"/>
  <c r="O708" i="2"/>
  <c r="N428" i="2"/>
  <c r="O428" i="2"/>
  <c r="N976" i="2"/>
  <c r="O976" i="2"/>
  <c r="N934" i="2"/>
  <c r="O934" i="2"/>
  <c r="N183" i="2"/>
  <c r="O183" i="2"/>
  <c r="N926" i="2"/>
  <c r="O926" i="2"/>
  <c r="N280" i="2"/>
  <c r="O280" i="2"/>
  <c r="N349" i="2"/>
  <c r="O349" i="2"/>
  <c r="N26" i="2"/>
  <c r="O26" i="2"/>
  <c r="N295" i="2"/>
  <c r="O295" i="2"/>
  <c r="N204" i="2"/>
  <c r="O204" i="2"/>
  <c r="N955" i="2"/>
  <c r="O955" i="2"/>
  <c r="N683" i="2"/>
  <c r="O683" i="2"/>
  <c r="N913" i="2"/>
  <c r="O913" i="2"/>
  <c r="N770" i="2"/>
  <c r="O770" i="2"/>
  <c r="N195" i="2"/>
  <c r="O195" i="2"/>
  <c r="N155" i="2"/>
  <c r="O155" i="2"/>
  <c r="N377" i="2"/>
  <c r="O377" i="2"/>
  <c r="N884" i="2"/>
  <c r="O884" i="2"/>
  <c r="N42" i="2"/>
  <c r="O42" i="2"/>
  <c r="N368" i="2"/>
  <c r="O368" i="2"/>
  <c r="N37" i="2"/>
  <c r="O37" i="2"/>
  <c r="N776" i="2"/>
  <c r="O776" i="2"/>
  <c r="N230" i="2"/>
  <c r="O230" i="2"/>
  <c r="N60" i="2"/>
  <c r="O60" i="2"/>
  <c r="N929" i="2"/>
  <c r="O929" i="2"/>
  <c r="N785" i="2"/>
  <c r="O785" i="2"/>
  <c r="N353" i="2"/>
  <c r="O353" i="2"/>
  <c r="N398" i="2"/>
  <c r="O398" i="2"/>
  <c r="N92" i="2"/>
  <c r="O92" i="2"/>
  <c r="N488" i="2"/>
  <c r="O488" i="2"/>
  <c r="N687" i="2"/>
  <c r="O687" i="2"/>
  <c r="N523" i="2"/>
  <c r="O523" i="2"/>
  <c r="N973" i="2"/>
  <c r="O973" i="2"/>
  <c r="N133" i="2"/>
  <c r="O133" i="2"/>
  <c r="N281" i="2"/>
  <c r="O281" i="2"/>
  <c r="N724" i="2"/>
  <c r="O724" i="2"/>
  <c r="N181" i="2"/>
  <c r="O181" i="2"/>
  <c r="N734" i="2"/>
  <c r="O734" i="2"/>
  <c r="N944" i="2"/>
  <c r="O944" i="2"/>
  <c r="N756" i="2"/>
  <c r="O756" i="2"/>
  <c r="N293" i="2"/>
  <c r="O293" i="2"/>
  <c r="N448" i="2"/>
  <c r="O448" i="2"/>
  <c r="N828" i="2"/>
  <c r="O828" i="2"/>
  <c r="N516" i="2"/>
  <c r="O516" i="2"/>
  <c r="N29" i="2"/>
  <c r="O29" i="2"/>
  <c r="N88" i="2"/>
  <c r="O88" i="2"/>
  <c r="N836" i="2"/>
  <c r="O836" i="2"/>
  <c r="N43" i="2"/>
  <c r="O43" i="2"/>
  <c r="N505" i="2"/>
  <c r="O505" i="2"/>
  <c r="N895" i="2"/>
  <c r="O895" i="2"/>
  <c r="N238" i="2"/>
  <c r="O238" i="2"/>
  <c r="N722" i="2"/>
  <c r="O722" i="2"/>
  <c r="N981" i="2"/>
  <c r="O981" i="2"/>
  <c r="N490" i="2"/>
  <c r="O490" i="2"/>
  <c r="N210" i="2"/>
  <c r="O210" i="2"/>
  <c r="N429" i="2"/>
  <c r="O429" i="2"/>
  <c r="N936" i="2"/>
  <c r="O936" i="2"/>
  <c r="N47" i="2"/>
  <c r="O47" i="2"/>
  <c r="N109" i="2"/>
  <c r="O109" i="2"/>
  <c r="N921" i="2"/>
  <c r="O921" i="2"/>
  <c r="N822" i="2"/>
  <c r="O822" i="2"/>
  <c r="N468" i="2"/>
  <c r="O468" i="2"/>
  <c r="N609" i="2"/>
  <c r="O609" i="2"/>
  <c r="N465" i="2"/>
  <c r="O465" i="2"/>
  <c r="N846" i="2"/>
  <c r="O846" i="2"/>
  <c r="N454" i="2"/>
  <c r="O454" i="2"/>
  <c r="N597" i="2"/>
  <c r="O597" i="2"/>
  <c r="N333" i="2"/>
  <c r="O333" i="2"/>
  <c r="N506" i="2"/>
  <c r="O506" i="2"/>
  <c r="N792" i="2"/>
  <c r="O792" i="2"/>
  <c r="N469" i="2"/>
  <c r="O469" i="2"/>
  <c r="N30" i="2"/>
  <c r="O30" i="2"/>
  <c r="N233" i="2"/>
  <c r="O233" i="2"/>
  <c r="N379" i="2"/>
  <c r="O379" i="2"/>
  <c r="N139" i="2"/>
  <c r="O139" i="2"/>
  <c r="N688" i="2"/>
  <c r="O688" i="2"/>
  <c r="N626" i="2"/>
  <c r="O626" i="2"/>
  <c r="N419" i="2"/>
  <c r="O419" i="2"/>
  <c r="N794" i="2"/>
  <c r="O794" i="2"/>
  <c r="N84" i="2"/>
  <c r="O84" i="2"/>
  <c r="N411" i="2"/>
  <c r="O411" i="2"/>
  <c r="N565" i="2"/>
  <c r="O565" i="2"/>
  <c r="N612" i="2"/>
  <c r="O612" i="2"/>
  <c r="N786" i="2"/>
  <c r="O786" i="2"/>
  <c r="N404" i="2"/>
  <c r="O404" i="2"/>
  <c r="N341" i="2"/>
  <c r="O341" i="2"/>
  <c r="N647" i="2"/>
  <c r="O647" i="2"/>
  <c r="N502" i="2"/>
  <c r="O502" i="2"/>
  <c r="N905" i="2"/>
  <c r="O905" i="2"/>
  <c r="N276" i="2"/>
  <c r="O276" i="2"/>
  <c r="N888" i="2"/>
  <c r="O888" i="2"/>
  <c r="N19" i="2"/>
  <c r="O19" i="2"/>
  <c r="N6" i="2"/>
  <c r="O6" i="2"/>
  <c r="N986" i="2"/>
  <c r="O986" i="2"/>
  <c r="N987" i="2"/>
  <c r="O987" i="2"/>
  <c r="N974" i="2"/>
  <c r="O974" i="2"/>
  <c r="N232" i="2"/>
  <c r="O232" i="2"/>
  <c r="N970" i="2"/>
  <c r="O970" i="2"/>
  <c r="N182" i="2"/>
  <c r="O182" i="2"/>
  <c r="N896" i="2"/>
  <c r="O896" i="2"/>
  <c r="N392" i="2"/>
  <c r="O392" i="2"/>
  <c r="N605" i="2"/>
  <c r="O605" i="2"/>
  <c r="N914" i="2"/>
  <c r="O914" i="2"/>
  <c r="N244" i="2"/>
  <c r="O244" i="2"/>
  <c r="N544" i="2"/>
  <c r="O544" i="2"/>
  <c r="N20" i="2"/>
  <c r="O20" i="2"/>
  <c r="N196" i="2"/>
  <c r="O196" i="2"/>
  <c r="N405" i="2"/>
  <c r="O405" i="2"/>
  <c r="N434" i="2"/>
  <c r="O434" i="2"/>
  <c r="N309" i="2"/>
  <c r="O309" i="2"/>
  <c r="N334" i="2"/>
  <c r="O334" i="2"/>
  <c r="N720" i="2"/>
  <c r="O720" i="2"/>
  <c r="N417" i="2"/>
  <c r="O417" i="2"/>
  <c r="N7" i="2"/>
  <c r="O7" i="2"/>
  <c r="N689" i="2"/>
  <c r="O689" i="2"/>
  <c r="N552" i="2"/>
  <c r="O552" i="2"/>
  <c r="N452" i="2"/>
  <c r="O452" i="2"/>
  <c r="N672" i="2"/>
  <c r="O672" i="2"/>
  <c r="N814" i="2"/>
  <c r="O814" i="2"/>
  <c r="N735" i="2"/>
  <c r="O735" i="2"/>
  <c r="N763" i="2"/>
  <c r="O763" i="2"/>
  <c r="N869" i="2"/>
  <c r="O869" i="2"/>
  <c r="N489" i="2"/>
  <c r="O489" i="2"/>
  <c r="N422" i="2"/>
  <c r="O422" i="2"/>
  <c r="N399" i="2"/>
  <c r="O399" i="2"/>
  <c r="N370" i="2"/>
  <c r="O370" i="2"/>
  <c r="N632" i="2"/>
  <c r="O632" i="2"/>
  <c r="N58" i="2"/>
  <c r="O58" i="2"/>
  <c r="N380" i="2"/>
  <c r="O380" i="2"/>
  <c r="N402" i="2"/>
  <c r="O402" i="2"/>
  <c r="N917" i="2"/>
  <c r="O917" i="2"/>
  <c r="N149" i="2"/>
  <c r="O149" i="2"/>
  <c r="N103" i="2"/>
  <c r="O103" i="2"/>
  <c r="N461" i="2"/>
  <c r="O461" i="2"/>
  <c r="N49" i="2"/>
  <c r="O49" i="2"/>
  <c r="N839" i="2"/>
  <c r="O839" i="2"/>
  <c r="N243" i="2"/>
  <c r="O243" i="2"/>
  <c r="N15" i="2"/>
  <c r="O15" i="2"/>
  <c r="N666" i="2"/>
  <c r="O666" i="2"/>
  <c r="N574" i="2"/>
  <c r="O574" i="2"/>
  <c r="N529" i="2"/>
  <c r="O529" i="2"/>
  <c r="N602" i="2"/>
  <c r="O602" i="2"/>
  <c r="N653" i="2"/>
  <c r="O653" i="2"/>
  <c r="N908" i="2"/>
  <c r="O908" i="2"/>
  <c r="N731" i="2"/>
  <c r="O731" i="2"/>
  <c r="N643" i="2"/>
  <c r="O643" i="2"/>
  <c r="N617" i="2"/>
  <c r="O617" i="2"/>
  <c r="N697" i="2"/>
  <c r="O697" i="2"/>
  <c r="N902" i="2"/>
  <c r="O902" i="2"/>
  <c r="N184" i="2"/>
  <c r="O184" i="2"/>
  <c r="N866" i="2"/>
  <c r="O866" i="2"/>
  <c r="N11" i="2"/>
  <c r="O11" i="2"/>
  <c r="N850" i="2"/>
  <c r="O850" i="2"/>
  <c r="N310" i="2"/>
  <c r="O310" i="2"/>
  <c r="N546" i="2"/>
  <c r="O546" i="2"/>
  <c r="N325" i="2"/>
  <c r="O325" i="2"/>
  <c r="N355" i="2"/>
  <c r="O355" i="2"/>
  <c r="N789" i="2"/>
  <c r="O789" i="2"/>
  <c r="N403" i="2"/>
  <c r="O403" i="2"/>
  <c r="N299" i="2"/>
  <c r="O299" i="2"/>
  <c r="N527" i="2"/>
  <c r="O527" i="2"/>
  <c r="N738" i="2"/>
  <c r="O738" i="2"/>
  <c r="N284" i="2"/>
  <c r="O284" i="2"/>
  <c r="N330" i="2"/>
  <c r="O330" i="2"/>
  <c r="N55" i="2"/>
  <c r="O55" i="2"/>
  <c r="N771" i="2"/>
  <c r="O771" i="2"/>
  <c r="N963" i="2"/>
  <c r="O963" i="2"/>
  <c r="N627" i="2"/>
  <c r="O627" i="2"/>
  <c r="N704" i="2"/>
  <c r="O704" i="2"/>
  <c r="N384" i="2"/>
  <c r="O384" i="2"/>
  <c r="N757" i="2"/>
  <c r="O757" i="2"/>
  <c r="N604" i="2"/>
  <c r="O604" i="2"/>
  <c r="N1001" i="2"/>
  <c r="O1001" i="2"/>
  <c r="N819" i="2"/>
  <c r="O819" i="2"/>
  <c r="N537" i="2"/>
  <c r="O537" i="2"/>
  <c r="N772" i="2"/>
  <c r="O772" i="2"/>
  <c r="N151" i="2"/>
  <c r="O151" i="2"/>
  <c r="N68" i="2"/>
  <c r="O68" i="2"/>
  <c r="N861" i="2"/>
  <c r="O861" i="2"/>
  <c r="N778" i="2"/>
  <c r="O778" i="2"/>
  <c r="N93" i="2"/>
  <c r="O93" i="2"/>
  <c r="N8" i="2"/>
  <c r="O8" i="2"/>
  <c r="N575" i="2"/>
  <c r="O575" i="2"/>
  <c r="N739" i="2"/>
  <c r="O739" i="2"/>
  <c r="N447" i="2"/>
  <c r="O447" i="2"/>
  <c r="N952" i="2"/>
  <c r="O952" i="2"/>
  <c r="N730" i="2"/>
  <c r="O730" i="2"/>
  <c r="N899" i="2"/>
  <c r="O899" i="2"/>
  <c r="N274" i="2"/>
  <c r="O274" i="2"/>
  <c r="N530" i="2"/>
  <c r="O530" i="2"/>
  <c r="N593" i="2"/>
  <c r="O593" i="2"/>
  <c r="N223" i="2"/>
  <c r="O223" i="2"/>
  <c r="N680" i="2"/>
  <c r="O680" i="2"/>
  <c r="N483" i="2"/>
  <c r="O483" i="2"/>
  <c r="N329" i="2"/>
  <c r="O329" i="2"/>
  <c r="N254" i="2"/>
  <c r="O254" i="2"/>
  <c r="N393" i="2"/>
  <c r="O393" i="2"/>
  <c r="N138" i="2"/>
  <c r="O138" i="2"/>
  <c r="N762" i="2"/>
  <c r="O762" i="2"/>
  <c r="N584" i="2"/>
  <c r="O584" i="2"/>
  <c r="N548" i="2"/>
  <c r="O548" i="2"/>
  <c r="N324" i="2"/>
  <c r="O324" i="2"/>
  <c r="N208" i="2"/>
  <c r="O208" i="2"/>
  <c r="N176" i="2"/>
  <c r="O176" i="2"/>
  <c r="N727" i="2"/>
  <c r="O727" i="2"/>
  <c r="N225" i="2"/>
  <c r="O225" i="2"/>
  <c r="N246" i="2"/>
  <c r="O246" i="2"/>
  <c r="N338" i="2"/>
  <c r="O338" i="2"/>
  <c r="N701" i="2"/>
  <c r="O701" i="2"/>
  <c r="N298" i="2"/>
  <c r="O298" i="2"/>
  <c r="N826" i="2"/>
  <c r="O826" i="2"/>
  <c r="N189" i="2"/>
  <c r="O189" i="2"/>
  <c r="N335" i="2"/>
  <c r="O335" i="2"/>
  <c r="N510" i="2"/>
  <c r="O510" i="2"/>
  <c r="N389" i="2"/>
  <c r="O389" i="2"/>
  <c r="N709" i="2"/>
  <c r="O709" i="2"/>
  <c r="N870" i="2"/>
  <c r="O870" i="2"/>
  <c r="N201" i="2"/>
  <c r="O201" i="2"/>
  <c r="N332" i="2"/>
  <c r="O332" i="2"/>
  <c r="N169" i="2"/>
  <c r="O169" i="2"/>
  <c r="N245" i="2"/>
  <c r="O245" i="2"/>
  <c r="N898" i="2"/>
  <c r="O898" i="2"/>
  <c r="N646" i="2"/>
  <c r="O646" i="2"/>
  <c r="N234" i="2"/>
  <c r="O234" i="2"/>
  <c r="N639" i="2"/>
  <c r="O639" i="2"/>
  <c r="N557" i="2"/>
  <c r="O557" i="2"/>
  <c r="N449" i="2"/>
  <c r="O449" i="2"/>
  <c r="N198" i="2"/>
  <c r="O198" i="2"/>
  <c r="N867" i="2"/>
  <c r="O867" i="2"/>
  <c r="N209" i="2"/>
  <c r="O209" i="2"/>
  <c r="N977" i="2"/>
  <c r="O977" i="2"/>
  <c r="N457" i="2"/>
  <c r="O457" i="2"/>
  <c r="N824" i="2"/>
  <c r="O824" i="2"/>
  <c r="N255" i="2"/>
  <c r="O255" i="2"/>
  <c r="N531" i="2"/>
  <c r="O531" i="2"/>
  <c r="N271" i="2"/>
  <c r="O271" i="2"/>
  <c r="N16" i="2"/>
  <c r="O16" i="2"/>
  <c r="N750" i="2"/>
  <c r="O750" i="2"/>
  <c r="N945" i="2"/>
  <c r="O945" i="2"/>
  <c r="N202" i="2"/>
  <c r="O202" i="2"/>
  <c r="N69" i="2"/>
  <c r="O69" i="2"/>
  <c r="N883" i="2"/>
  <c r="O883" i="2"/>
  <c r="N400" i="2"/>
  <c r="O400" i="2"/>
  <c r="N656" i="2"/>
  <c r="O656" i="2"/>
  <c r="N135" i="2"/>
  <c r="O135" i="2"/>
  <c r="N553" i="2"/>
  <c r="O553" i="2"/>
  <c r="N408" i="2"/>
  <c r="O408" i="2"/>
  <c r="N829" i="2"/>
  <c r="O829" i="2"/>
  <c r="N331" i="2"/>
  <c r="O331" i="2"/>
  <c r="N264" i="2"/>
  <c r="O264" i="2"/>
  <c r="N519" i="2"/>
  <c r="O519" i="2"/>
  <c r="N691" i="2"/>
  <c r="O691" i="2"/>
  <c r="N479" i="2"/>
  <c r="O479" i="2"/>
  <c r="N146" i="2"/>
  <c r="O146" i="2"/>
  <c r="N690" i="2"/>
  <c r="O690" i="2"/>
  <c r="N910" i="2"/>
  <c r="O910" i="2"/>
  <c r="N932" i="2"/>
  <c r="O932" i="2"/>
  <c r="N356" i="2"/>
  <c r="O356" i="2"/>
  <c r="N585" i="2"/>
  <c r="O585" i="2"/>
  <c r="N492" i="2"/>
  <c r="O492" i="2"/>
  <c r="N628" i="2"/>
  <c r="O628" i="2"/>
  <c r="N121" i="2"/>
  <c r="O121" i="2"/>
  <c r="N290" i="2"/>
  <c r="O290" i="2"/>
  <c r="N820" i="2"/>
  <c r="O820" i="2"/>
  <c r="N634" i="2"/>
  <c r="O634" i="2"/>
  <c r="N635" i="2"/>
  <c r="O635" i="2"/>
  <c r="N154" i="2"/>
  <c r="O154" i="2"/>
  <c r="N326" i="2"/>
  <c r="O326" i="2"/>
  <c r="N420" i="2"/>
  <c r="O420" i="2"/>
  <c r="N216" i="2"/>
  <c r="O216" i="2"/>
  <c r="N296" i="2"/>
  <c r="O296" i="2"/>
  <c r="N407" i="2"/>
  <c r="O407" i="2"/>
  <c r="N115" i="2"/>
  <c r="O115" i="2"/>
  <c r="N640" i="2"/>
  <c r="O640" i="2"/>
  <c r="N748" i="2"/>
  <c r="O748" i="2"/>
  <c r="N507" i="2"/>
  <c r="O507" i="2"/>
  <c r="N886" i="2"/>
  <c r="O886" i="2"/>
  <c r="N862" i="2"/>
  <c r="O862" i="2"/>
  <c r="N214" i="2"/>
  <c r="O214" i="2"/>
  <c r="N930" i="2"/>
  <c r="O930" i="2"/>
  <c r="N432" i="2"/>
  <c r="O432" i="2"/>
  <c r="N401" i="2"/>
  <c r="O401" i="2"/>
  <c r="N821" i="2"/>
  <c r="O821" i="2"/>
  <c r="N911" i="2"/>
  <c r="O911" i="2"/>
  <c r="N125" i="2"/>
  <c r="O125" i="2"/>
  <c r="N885" i="2"/>
  <c r="O885" i="2"/>
  <c r="N350" i="2"/>
  <c r="O350" i="2"/>
  <c r="N56" i="2"/>
  <c r="O56" i="2"/>
  <c r="N912" i="2"/>
  <c r="O912" i="2"/>
  <c r="N118" i="2"/>
  <c r="O118" i="2"/>
  <c r="N423" i="2"/>
  <c r="O423" i="2"/>
  <c r="N371" i="2"/>
  <c r="O371" i="2"/>
  <c r="N35" i="2"/>
  <c r="O35" i="2"/>
  <c r="N964" i="2"/>
  <c r="O964" i="2"/>
  <c r="N798" i="2"/>
  <c r="O798" i="2"/>
  <c r="N764" i="2"/>
  <c r="O764" i="2"/>
  <c r="N272" i="2"/>
  <c r="O272" i="2"/>
  <c r="N654" i="2"/>
  <c r="O654" i="2"/>
  <c r="N343" i="2"/>
  <c r="O343" i="2"/>
  <c r="N303" i="2"/>
  <c r="O303" i="2"/>
  <c r="N480" i="2"/>
  <c r="O480" i="2"/>
  <c r="N830" i="2"/>
  <c r="O830" i="2"/>
  <c r="N543" i="2"/>
  <c r="O543" i="2"/>
  <c r="N559" i="2"/>
  <c r="O559" i="2"/>
  <c r="N261" i="2"/>
  <c r="O261" i="2"/>
  <c r="N540" i="2"/>
  <c r="O540" i="2"/>
  <c r="N598" i="2"/>
  <c r="O598" i="2"/>
  <c r="N171" i="2"/>
  <c r="O171" i="2"/>
  <c r="N316" i="2"/>
  <c r="O316" i="2"/>
  <c r="N3" i="2"/>
  <c r="O3" i="2"/>
  <c r="N751" i="2"/>
  <c r="O751" i="2"/>
  <c r="N258" i="2"/>
  <c r="O258" i="2"/>
  <c r="N73" i="2"/>
  <c r="O73" i="2"/>
  <c r="N482" i="2"/>
  <c r="O482" i="2"/>
  <c r="N673" i="2"/>
  <c r="O673" i="2"/>
  <c r="N319" i="2"/>
  <c r="O319" i="2"/>
  <c r="N842" i="2"/>
  <c r="O842" i="2"/>
  <c r="N203" i="2"/>
  <c r="O203" i="2"/>
  <c r="N231" i="2"/>
  <c r="O231" i="2"/>
  <c r="N159" i="2"/>
  <c r="O159" i="2"/>
  <c r="N648" i="2"/>
  <c r="O648" i="2"/>
  <c r="N630" i="2"/>
  <c r="O630" i="2"/>
  <c r="N459" i="2"/>
  <c r="O459" i="2"/>
  <c r="N226" i="2"/>
  <c r="O226" i="2"/>
  <c r="N199" i="2"/>
  <c r="O199" i="2"/>
  <c r="N790" i="2"/>
  <c r="O790" i="2"/>
  <c r="N205" i="2"/>
  <c r="O205" i="2"/>
  <c r="N992" i="2"/>
  <c r="O992" i="2"/>
  <c r="N651" i="2"/>
  <c r="O651" i="2"/>
  <c r="N239" i="2"/>
  <c r="O239" i="2"/>
  <c r="N148" i="2"/>
  <c r="O148" i="2"/>
  <c r="N703" i="2"/>
  <c r="O703" i="2"/>
  <c r="N493" i="2"/>
  <c r="O493" i="2"/>
  <c r="N554" i="2"/>
  <c r="O554" i="2"/>
  <c r="N63" i="2"/>
  <c r="O63" i="2"/>
  <c r="N927" i="2"/>
  <c r="O927" i="2"/>
  <c r="N503" i="2"/>
  <c r="O503" i="2"/>
  <c r="N150" i="2"/>
  <c r="O150" i="2"/>
  <c r="N716" i="2"/>
  <c r="O716" i="2"/>
  <c r="N586" i="2"/>
  <c r="O586" i="2"/>
  <c r="N728" i="2"/>
  <c r="O728" i="2"/>
  <c r="N538" i="2"/>
  <c r="O538" i="2"/>
  <c r="N644" i="2"/>
  <c r="O644" i="2"/>
  <c r="N122" i="2"/>
  <c r="O122" i="2"/>
  <c r="N170" i="2"/>
  <c r="O170" i="2"/>
  <c r="N224" i="2"/>
  <c r="O224" i="2"/>
  <c r="N85" i="2"/>
  <c r="O85" i="2"/>
  <c r="N707" i="2"/>
  <c r="O707" i="2"/>
  <c r="N667" i="2"/>
  <c r="O667" i="2"/>
  <c r="N581" i="2"/>
  <c r="O581" i="2"/>
  <c r="N106" i="2"/>
  <c r="O106" i="2"/>
  <c r="N769" i="2"/>
  <c r="O769" i="2"/>
  <c r="N872" i="2"/>
  <c r="O872" i="2"/>
  <c r="N235" i="2"/>
  <c r="O235" i="2"/>
  <c r="N97" i="2"/>
  <c r="O97" i="2"/>
  <c r="N613" i="2"/>
  <c r="O613" i="2"/>
  <c r="N352" i="2"/>
  <c r="O352" i="2"/>
  <c r="N837" i="2"/>
  <c r="O837" i="2"/>
  <c r="N979" i="2"/>
  <c r="O979" i="2"/>
  <c r="N891" i="2"/>
  <c r="O891" i="2"/>
  <c r="N248" i="2"/>
  <c r="O248" i="2"/>
  <c r="N273" i="2"/>
  <c r="O273" i="2"/>
  <c r="N410" i="2"/>
  <c r="O410" i="2"/>
  <c r="N671" i="2"/>
  <c r="O671" i="2"/>
  <c r="N131" i="2"/>
  <c r="O131" i="2"/>
  <c r="N440" i="2"/>
  <c r="O440" i="2"/>
  <c r="N532" i="2"/>
  <c r="O532" i="2"/>
  <c r="N442" i="2"/>
  <c r="O442" i="2"/>
  <c r="N177" i="2"/>
  <c r="O177" i="2"/>
  <c r="N25" i="2"/>
  <c r="O25" i="2"/>
  <c r="N956" i="2"/>
  <c r="O956" i="2"/>
  <c r="N743" i="2"/>
  <c r="O743" i="2"/>
  <c r="N893" i="2"/>
  <c r="O893" i="2"/>
  <c r="N64" i="2"/>
  <c r="O64" i="2"/>
  <c r="N591" i="2"/>
  <c r="O591" i="2"/>
  <c r="N116" i="2"/>
  <c r="O116" i="2"/>
  <c r="N283" i="2"/>
  <c r="O283" i="2"/>
  <c r="N702" i="2"/>
  <c r="O702" i="2"/>
  <c r="N513" i="2"/>
  <c r="O513" i="2"/>
  <c r="N624" i="2"/>
  <c r="O624" i="2"/>
  <c r="N278" i="2"/>
  <c r="O278" i="2"/>
  <c r="N882" i="2"/>
  <c r="O882" i="2"/>
  <c r="N615" i="2"/>
  <c r="O615" i="2"/>
  <c r="N741" i="2"/>
  <c r="O741" i="2"/>
  <c r="N268" i="2"/>
  <c r="O268" i="2"/>
  <c r="N831" i="2"/>
  <c r="O831" i="2"/>
  <c r="N409" i="2"/>
  <c r="O409" i="2"/>
  <c r="N501" i="2"/>
  <c r="O501" i="2"/>
  <c r="N104" i="2"/>
  <c r="O104" i="2"/>
  <c r="N318" i="2"/>
  <c r="O318" i="2"/>
  <c r="N40" i="2"/>
  <c r="O40" i="2"/>
  <c r="N339" i="2"/>
  <c r="O339" i="2"/>
  <c r="N57" i="2"/>
  <c r="O57" i="2"/>
  <c r="N98" i="2"/>
  <c r="O98" i="2"/>
  <c r="N698" i="2"/>
  <c r="O698" i="2"/>
  <c r="N178" i="2"/>
  <c r="O178" i="2"/>
  <c r="N943" i="2"/>
  <c r="O943" i="2"/>
  <c r="N625" i="2"/>
  <c r="O625" i="2"/>
  <c r="N498" i="2"/>
  <c r="O498" i="2"/>
  <c r="N576" i="2"/>
  <c r="O576" i="2"/>
  <c r="N94" i="2"/>
  <c r="O94" i="2"/>
  <c r="N317" i="2"/>
  <c r="O317" i="2"/>
  <c r="N832" i="2"/>
  <c r="O832" i="2"/>
  <c r="N372" i="2"/>
  <c r="O372" i="2"/>
  <c r="N101" i="2"/>
  <c r="O101" i="2"/>
  <c r="N871" i="2"/>
  <c r="O871" i="2"/>
  <c r="N645" i="2"/>
  <c r="O645" i="2"/>
  <c r="N692" i="2"/>
  <c r="O692" i="2"/>
  <c r="N746" i="2"/>
  <c r="O746" i="2"/>
  <c r="N695" i="2"/>
  <c r="O695" i="2"/>
  <c r="N726" i="2"/>
  <c r="O726" i="2"/>
  <c r="N86" i="2"/>
  <c r="O86" i="2"/>
  <c r="N965" i="2"/>
  <c r="O965" i="2"/>
  <c r="N851" i="2"/>
  <c r="O851" i="2"/>
  <c r="N668" i="2"/>
  <c r="O668" i="2"/>
  <c r="N749" i="2"/>
  <c r="O749" i="2"/>
  <c r="N657" i="2"/>
  <c r="O657" i="2"/>
  <c r="N87" i="2"/>
  <c r="O87" i="2"/>
  <c r="N50" i="2"/>
  <c r="O50" i="2"/>
  <c r="N52" i="2"/>
  <c r="O52" i="2"/>
  <c r="N592" i="2"/>
  <c r="O592" i="2"/>
  <c r="N425" i="2"/>
  <c r="O425" i="2"/>
  <c r="N156" i="2"/>
  <c r="O156" i="2"/>
  <c r="N906" i="2"/>
  <c r="O906" i="2"/>
  <c r="N140" i="2"/>
  <c r="O140" i="2"/>
  <c r="N455" i="2"/>
  <c r="O455" i="2"/>
  <c r="N642" i="2"/>
  <c r="O642" i="2"/>
  <c r="N873" i="2"/>
  <c r="O873" i="2"/>
  <c r="N636" i="2"/>
  <c r="O636" i="2"/>
  <c r="N962" i="2"/>
  <c r="O962" i="2"/>
  <c r="N996" i="2"/>
  <c r="O996" i="2"/>
  <c r="N868" i="2"/>
  <c r="O868" i="2"/>
  <c r="N504" i="2"/>
  <c r="O504" i="2"/>
  <c r="N922" i="2"/>
  <c r="O922" i="2"/>
  <c r="N773" i="2"/>
  <c r="O773" i="2"/>
  <c r="N247" i="2"/>
  <c r="O247" i="2"/>
  <c r="N475" i="2"/>
  <c r="O475" i="2"/>
  <c r="N390" i="2"/>
  <c r="O390" i="2"/>
  <c r="N117" i="2"/>
  <c r="O117" i="2"/>
  <c r="N484" i="2"/>
  <c r="O484" i="2"/>
  <c r="N44" i="2"/>
  <c r="O44" i="2"/>
  <c r="N659" i="2"/>
  <c r="O659" i="2"/>
  <c r="N547" i="2"/>
  <c r="O547" i="2"/>
  <c r="N520" i="2"/>
  <c r="O520" i="2"/>
  <c r="N732" i="2"/>
  <c r="O732" i="2"/>
  <c r="N336" i="2"/>
  <c r="O336" i="2"/>
  <c r="N406" i="2"/>
  <c r="O406" i="2"/>
  <c r="N297" i="2"/>
  <c r="O297" i="2"/>
  <c r="N123" i="2"/>
  <c r="O123" i="2"/>
  <c r="Q10" i="2"/>
  <c r="Q1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D96CF6-7505-49B9-ACA1-66681032431E}" keepAlive="1" name="Запрос — sales_data" description="Соединение с запросом &quot;sales_data&quot; в книге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<sst xmlns="http://schemas.openxmlformats.org/spreadsheetml/2006/main" count="8053" uniqueCount="1075">
  <si>
    <t>CustomerID</t>
  </si>
  <si>
    <t>Region</t>
  </si>
  <si>
    <t>Sales</t>
  </si>
  <si>
    <t>Discount</t>
  </si>
  <si>
    <t>Date</t>
  </si>
  <si>
    <t>ProductID</t>
  </si>
  <si>
    <t>Quantity</t>
  </si>
  <si>
    <t>Return</t>
  </si>
  <si>
    <t>CustomerType</t>
  </si>
  <si>
    <t>SalesChannel</t>
  </si>
  <si>
    <t>PaymentMethod</t>
  </si>
  <si>
    <t>SatisfactionScore</t>
  </si>
  <si>
    <t>ProductCategory</t>
  </si>
  <si>
    <t>1001</t>
  </si>
  <si>
    <t>East</t>
  </si>
  <si>
    <t>0</t>
  </si>
  <si>
    <t>VIP</t>
  </si>
  <si>
    <t>Online</t>
  </si>
  <si>
    <t>Credit Card</t>
  </si>
  <si>
    <t>3</t>
  </si>
  <si>
    <t>Electronics</t>
  </si>
  <si>
    <t>1002</t>
  </si>
  <si>
    <t>West</t>
  </si>
  <si>
    <t>New</t>
  </si>
  <si>
    <t>In-Store</t>
  </si>
  <si>
    <t>Bank Transfer</t>
  </si>
  <si>
    <t>6</t>
  </si>
  <si>
    <t>Sports</t>
  </si>
  <si>
    <t>1003</t>
  </si>
  <si>
    <t>North</t>
  </si>
  <si>
    <t>2</t>
  </si>
  <si>
    <t>Health &amp; Beauty</t>
  </si>
  <si>
    <t>1004</t>
  </si>
  <si>
    <t>Returning</t>
  </si>
  <si>
    <t>Direct</t>
  </si>
  <si>
    <t>Cash</t>
  </si>
  <si>
    <t>10</t>
  </si>
  <si>
    <t>1005</t>
  </si>
  <si>
    <t>1</t>
  </si>
  <si>
    <t>1006</t>
  </si>
  <si>
    <t>nan</t>
  </si>
  <si>
    <t>Home &amp; Kitchen</t>
  </si>
  <si>
    <t>1007</t>
  </si>
  <si>
    <t>5</t>
  </si>
  <si>
    <t>Books</t>
  </si>
  <si>
    <t>1008</t>
  </si>
  <si>
    <t>4</t>
  </si>
  <si>
    <t>1009</t>
  </si>
  <si>
    <t>Toys</t>
  </si>
  <si>
    <t>1010</t>
  </si>
  <si>
    <t>South</t>
  </si>
  <si>
    <t>1011</t>
  </si>
  <si>
    <t>1012</t>
  </si>
  <si>
    <t>1013</t>
  </si>
  <si>
    <t>9</t>
  </si>
  <si>
    <t>Clothing</t>
  </si>
  <si>
    <t>1014</t>
  </si>
  <si>
    <t>1015</t>
  </si>
  <si>
    <t>7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</si>
  <si>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</si>
  <si>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</si>
  <si>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</si>
  <si>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</si>
  <si>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</si>
  <si>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</si>
  <si>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</si>
  <si>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</si>
  <si>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</si>
  <si>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</si>
  <si>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</si>
  <si>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</si>
  <si>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</si>
  <si>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</si>
  <si>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</si>
  <si>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</si>
  <si>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</si>
  <si>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</si>
  <si>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</si>
  <si>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</si>
  <si>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</si>
  <si>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</si>
  <si>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</si>
  <si>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</si>
  <si>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</si>
  <si>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</si>
  <si>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8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</si>
  <si>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</si>
  <si>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</si>
  <si>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</si>
  <si>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</si>
  <si>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</si>
  <si>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</si>
  <si>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</si>
  <si>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</si>
  <si>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</si>
  <si>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</si>
  <si>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</si>
  <si>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</si>
  <si>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</si>
  <si>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</si>
  <si>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</si>
  <si>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</si>
  <si>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</si>
  <si>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</si>
  <si>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</si>
  <si>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</si>
  <si>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</si>
  <si>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</si>
  <si>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</si>
  <si>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</si>
  <si>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</si>
  <si>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</si>
  <si>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</si>
  <si>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</si>
  <si>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</si>
  <si>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</si>
  <si>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</si>
  <si>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</si>
  <si>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</si>
  <si>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</si>
  <si>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</si>
  <si>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</si>
  <si>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</si>
  <si>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</si>
  <si>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</si>
  <si>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</si>
  <si>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</si>
  <si>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</si>
  <si>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</si>
  <si>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</si>
  <si>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</si>
  <si>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</si>
  <si>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</si>
  <si>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</si>
  <si>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</si>
  <si>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</si>
  <si>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</si>
  <si>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</si>
  <si>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</si>
  <si>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</si>
  <si>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</si>
  <si>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</si>
  <si>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</si>
  <si>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</si>
  <si>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</si>
  <si>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</si>
  <si>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</si>
  <si>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</si>
  <si>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</si>
  <si>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</si>
  <si>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</si>
  <si>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</si>
  <si>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</si>
  <si>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</si>
  <si>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</si>
  <si>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</si>
  <si>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</si>
  <si>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</si>
  <si>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</si>
  <si>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</si>
  <si>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</si>
  <si>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</si>
  <si>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</si>
  <si>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</si>
  <si>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</si>
  <si>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</si>
  <si>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</si>
  <si>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</si>
  <si>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</si>
  <si>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</si>
  <si>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</si>
  <si>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</si>
  <si>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</si>
  <si>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</si>
  <si>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</si>
  <si>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</si>
  <si>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</si>
  <si>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</si>
  <si>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</si>
  <si>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</si>
  <si>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</si>
  <si>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</si>
  <si>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</si>
  <si>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</si>
  <si>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</si>
  <si>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</si>
  <si>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</si>
  <si>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</si>
  <si>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</si>
  <si>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</si>
  <si>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</si>
  <si>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</si>
  <si>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</si>
  <si>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</si>
  <si>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</si>
  <si>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</si>
  <si>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</si>
  <si>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</si>
  <si>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</si>
  <si>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</si>
  <si>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</si>
  <si>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</si>
  <si>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</si>
  <si>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</si>
  <si>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</si>
  <si>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</si>
  <si>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</si>
  <si>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</si>
  <si>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</si>
  <si>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</si>
  <si>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</si>
  <si>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</si>
  <si>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</si>
  <si>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</si>
  <si>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</si>
  <si>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</si>
  <si>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</si>
  <si>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</si>
  <si>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</si>
  <si>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</si>
  <si>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</si>
  <si>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</si>
  <si>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</si>
  <si>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</si>
  <si>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</si>
  <si>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</si>
  <si>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</si>
  <si>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</si>
  <si>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</si>
  <si>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</si>
  <si>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</si>
  <si>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</si>
  <si>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</si>
  <si>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</si>
  <si>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</si>
  <si>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</si>
  <si>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</si>
  <si>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</si>
  <si>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</si>
  <si>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</si>
  <si>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</si>
  <si>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</si>
  <si>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</si>
  <si>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</si>
  <si>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</si>
  <si>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</si>
  <si>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</si>
  <si>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</si>
  <si>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</si>
  <si>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</si>
  <si>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</si>
  <si>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</si>
  <si>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</si>
  <si>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</si>
  <si>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</si>
  <si>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</si>
  <si>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</si>
  <si>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</si>
  <si>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</si>
  <si>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</si>
  <si>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</si>
  <si>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</si>
  <si>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</si>
  <si>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</si>
  <si>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</si>
  <si>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</si>
  <si>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</si>
  <si>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</si>
  <si>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</si>
  <si>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</si>
  <si>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</si>
  <si>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</si>
  <si>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</si>
  <si>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</si>
  <si>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</si>
  <si>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</si>
  <si>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</si>
  <si>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</si>
  <si>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</si>
  <si>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</si>
  <si>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</si>
  <si>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</si>
  <si>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</si>
  <si>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</si>
  <si>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</si>
  <si>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</si>
  <si>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</si>
  <si>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</si>
  <si>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</si>
  <si>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</si>
  <si>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</si>
  <si>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</si>
  <si>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</si>
  <si>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</si>
  <si>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</si>
  <si>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</si>
  <si>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</si>
  <si>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</si>
  <si>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</si>
  <si>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</si>
  <si>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</si>
  <si>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</si>
  <si>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</si>
  <si>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</si>
  <si>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</si>
  <si>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</si>
  <si>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</si>
  <si>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</si>
  <si>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</si>
  <si>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</si>
  <si>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</si>
  <si>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</si>
  <si>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</si>
  <si>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</si>
  <si>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</si>
  <si>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</si>
  <si>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</si>
  <si>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</si>
  <si>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</si>
  <si>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</si>
  <si>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</si>
  <si>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</si>
  <si>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</si>
  <si>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</si>
  <si>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</si>
  <si>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</si>
  <si>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</si>
  <si>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</si>
  <si>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</si>
  <si>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</si>
  <si>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</si>
  <si>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</si>
  <si>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</si>
  <si>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</si>
  <si>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</si>
  <si>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</si>
  <si>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</si>
  <si>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</si>
  <si>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</si>
  <si>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</si>
  <si>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</si>
  <si>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</si>
  <si>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</si>
  <si>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</si>
  <si>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</si>
  <si>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</si>
  <si>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</si>
  <si>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</si>
  <si>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</si>
  <si>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</si>
  <si>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</si>
  <si>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</si>
  <si>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</si>
  <si>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</si>
  <si>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</si>
  <si>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</si>
  <si>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</si>
  <si>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</si>
  <si>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</si>
  <si>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</si>
  <si>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</si>
  <si>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</si>
  <si>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</si>
  <si>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</si>
  <si>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</si>
  <si>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</si>
  <si>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</si>
  <si>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</si>
  <si>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</si>
  <si>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</si>
  <si>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</si>
  <si>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</si>
  <si>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</si>
  <si>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</si>
  <si>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</si>
  <si>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</si>
  <si>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</si>
  <si>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</si>
  <si>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</si>
  <si>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</si>
  <si>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</si>
  <si>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</si>
  <si>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</si>
  <si>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</si>
  <si>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</si>
  <si>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</si>
  <si>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</si>
  <si>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</si>
  <si>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</si>
  <si>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</si>
  <si>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</si>
  <si>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</si>
  <si>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</si>
  <si>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</si>
  <si>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</si>
  <si>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</si>
  <si>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</si>
  <si>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</si>
  <si>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</si>
  <si>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</si>
  <si>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</si>
  <si>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</si>
  <si>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</si>
  <si>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</si>
  <si>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</si>
  <si>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</si>
  <si>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</si>
  <si>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</si>
  <si>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</si>
  <si>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</si>
  <si>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</si>
  <si>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</si>
  <si>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</si>
  <si>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</si>
  <si>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</si>
  <si>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</si>
  <si>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</si>
  <si>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</si>
  <si>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</si>
  <si>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</si>
  <si>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</si>
  <si>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</si>
  <si>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</si>
  <si>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</si>
  <si>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</si>
  <si>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</si>
  <si>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</si>
  <si>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</si>
  <si>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</si>
  <si>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</si>
  <si>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</si>
  <si>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</si>
  <si>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</si>
  <si>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</si>
  <si>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</si>
  <si>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</si>
  <si>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</si>
  <si>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</si>
  <si>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</si>
  <si>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</si>
  <si>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</si>
  <si>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</si>
  <si>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</si>
  <si>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</si>
  <si>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</si>
  <si>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</si>
  <si>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</si>
  <si>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</si>
  <si>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</si>
  <si>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</si>
  <si>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</si>
  <si>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</si>
  <si>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</si>
  <si>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</si>
  <si>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</si>
  <si>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</si>
  <si>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</si>
  <si>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</si>
  <si>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</si>
  <si>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</si>
  <si>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</si>
  <si>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</si>
  <si>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</si>
  <si>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</si>
  <si>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</si>
  <si>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</si>
  <si>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</si>
  <si>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</si>
  <si>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</si>
  <si>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</si>
  <si>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</si>
  <si>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</si>
  <si>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</si>
  <si>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</si>
  <si>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</si>
  <si>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</si>
  <si>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</si>
  <si>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</si>
  <si>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</si>
  <si>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</si>
  <si>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</si>
  <si>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</si>
  <si>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</si>
  <si>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</si>
  <si>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</si>
  <si>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</si>
  <si>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</si>
  <si>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</si>
  <si>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</si>
  <si>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</si>
  <si>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</si>
  <si>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</si>
  <si>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</si>
  <si>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</si>
  <si>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</si>
  <si>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</si>
  <si>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</si>
  <si>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</si>
  <si>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</si>
  <si>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</si>
  <si>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</si>
  <si>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</si>
  <si>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</si>
  <si>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</si>
  <si>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</si>
  <si>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</si>
  <si>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</si>
  <si>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</si>
  <si>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</si>
  <si>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</si>
  <si>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</si>
  <si>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</si>
  <si>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</si>
  <si>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</si>
  <si>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</si>
  <si>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</si>
  <si>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</si>
  <si>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</si>
  <si>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</si>
  <si>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</si>
  <si>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</si>
  <si>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</si>
  <si>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</si>
  <si>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</si>
  <si>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</si>
  <si>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</si>
  <si>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</si>
  <si>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</si>
  <si>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</si>
  <si>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</si>
  <si>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</si>
  <si>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</si>
  <si>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</si>
  <si>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</si>
  <si>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</si>
  <si>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</si>
  <si>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</si>
  <si>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</si>
  <si>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</si>
  <si>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</si>
  <si>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</si>
  <si>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</si>
  <si>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</si>
  <si>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</si>
  <si>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</si>
  <si>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</si>
  <si>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</si>
  <si>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</si>
  <si>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</si>
  <si>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</si>
  <si>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</si>
  <si>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</si>
  <si>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</si>
  <si>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</si>
  <si>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</si>
  <si>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</si>
  <si>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</si>
  <si>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</si>
  <si>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</si>
  <si>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</si>
  <si>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</si>
  <si>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</si>
  <si>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</si>
  <si>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</si>
  <si>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</si>
  <si>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</si>
  <si>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</si>
  <si>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</si>
  <si>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</si>
  <si>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</si>
  <si>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</si>
  <si>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</si>
  <si>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</si>
  <si>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</si>
  <si>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</si>
  <si>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</si>
  <si>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</si>
  <si>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</si>
  <si>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</si>
  <si>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</si>
  <si>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</si>
  <si>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</si>
  <si>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</si>
  <si>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</si>
  <si>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</si>
  <si>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</si>
  <si>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</si>
  <si>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</si>
  <si>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</si>
  <si>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</si>
  <si>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</si>
  <si>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</si>
  <si>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</si>
  <si>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</si>
  <si>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</si>
  <si>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</si>
  <si>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</si>
  <si>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</si>
  <si>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</si>
  <si>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</si>
  <si>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</si>
  <si>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</si>
  <si>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</si>
  <si>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</si>
  <si>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</si>
  <si>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</si>
  <si>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</si>
  <si>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</si>
  <si>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</si>
  <si>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</si>
  <si>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</si>
  <si>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</si>
  <si>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</si>
  <si>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</si>
  <si>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</si>
  <si>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</si>
  <si>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</si>
  <si>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</si>
  <si>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</si>
  <si>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</si>
  <si>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</si>
  <si>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</si>
  <si>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</si>
  <si>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</si>
  <si>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</si>
  <si>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</si>
  <si>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</si>
  <si>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</si>
  <si>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</si>
  <si>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</si>
  <si>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</si>
  <si>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</si>
  <si>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</si>
  <si>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</si>
  <si>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</si>
  <si>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</si>
  <si>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</si>
  <si>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</si>
  <si>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</si>
  <si>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</si>
  <si>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</si>
  <si>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</si>
  <si>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</si>
  <si>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</si>
  <si>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</si>
  <si>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</si>
  <si>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</si>
  <si>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</si>
  <si>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</si>
  <si>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</si>
  <si>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</si>
  <si>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</si>
  <si>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</si>
  <si>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</si>
  <si>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</si>
  <si>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</si>
  <si>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</si>
  <si>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</si>
  <si>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</si>
  <si>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</si>
  <si>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</si>
  <si>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</si>
  <si>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</si>
  <si>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</si>
  <si>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</si>
  <si>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</si>
  <si>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</si>
  <si>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</si>
  <si>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</si>
  <si>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</si>
  <si>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</si>
  <si>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</si>
  <si>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</si>
  <si>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</si>
  <si>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</si>
  <si>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</si>
  <si>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</si>
  <si>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</si>
  <si>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</si>
  <si>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</si>
  <si>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</si>
  <si>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</si>
  <si>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</si>
  <si>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</si>
  <si>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</si>
  <si>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</si>
  <si>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</si>
  <si>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</si>
  <si>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</si>
  <si>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</si>
  <si>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</si>
  <si>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</si>
  <si>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</si>
  <si>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</si>
  <si>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</si>
  <si>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</si>
  <si>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</si>
  <si>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</si>
  <si>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</si>
  <si>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</si>
  <si>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</si>
  <si>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</si>
  <si>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</si>
  <si>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</si>
  <si>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</si>
  <si>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</si>
  <si>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</si>
  <si>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</si>
  <si>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</si>
  <si>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</si>
  <si>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</si>
  <si>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</si>
  <si>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</si>
  <si>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</si>
  <si>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</si>
  <si>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</si>
  <si>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</si>
  <si>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</si>
  <si>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</si>
  <si>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</si>
  <si>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</si>
  <si>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</si>
  <si>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</si>
  <si>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</si>
  <si>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</si>
  <si>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</si>
  <si>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</si>
  <si>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</si>
  <si>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</si>
  <si>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</si>
  <si>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</si>
  <si>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</si>
  <si>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</si>
  <si>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</si>
  <si>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</si>
  <si>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</si>
  <si>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</si>
  <si>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</si>
  <si>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</si>
  <si>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</si>
  <si>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</si>
  <si>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</si>
  <si>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</si>
  <si>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</si>
  <si>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</si>
  <si>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</si>
  <si>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</si>
  <si>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</si>
  <si>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</si>
  <si>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</si>
  <si>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</si>
  <si>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</si>
  <si>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</si>
  <si>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</si>
  <si>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</si>
  <si>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</si>
  <si>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</si>
  <si>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</si>
  <si>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</si>
  <si>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</si>
  <si>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</si>
  <si>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</si>
  <si>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</si>
  <si>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</si>
  <si>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</si>
  <si>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</si>
  <si>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</si>
  <si>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</si>
  <si>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</si>
  <si>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</si>
  <si>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</si>
  <si>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</si>
  <si>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</si>
  <si>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</si>
  <si>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</si>
  <si>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</si>
  <si>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</si>
  <si>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</si>
  <si>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</si>
  <si>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</si>
  <si>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</si>
  <si>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</si>
  <si>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</si>
  <si>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</si>
  <si>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</si>
  <si>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</si>
  <si>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</si>
  <si>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</si>
  <si>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</si>
  <si>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</si>
  <si>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</si>
  <si>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</si>
  <si>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</si>
  <si>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</si>
  <si>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</si>
  <si>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</si>
  <si>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</si>
  <si>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</si>
  <si>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</si>
  <si>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</si>
  <si>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</si>
  <si>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</si>
  <si>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</si>
  <si>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</si>
  <si>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</si>
  <si>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</si>
  <si>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</si>
  <si>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</si>
  <si>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</si>
  <si>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</si>
  <si>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</si>
  <si>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</si>
  <si>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</si>
  <si>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</si>
  <si>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</si>
  <si>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</si>
  <si>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</si>
  <si>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</si>
  <si>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</si>
  <si>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</si>
  <si>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</si>
  <si>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</si>
  <si>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</si>
  <si>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</si>
  <si>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</si>
  <si>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</si>
  <si>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</si>
  <si>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</si>
  <si>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</si>
  <si>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</si>
  <si>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</si>
  <si>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</si>
  <si>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</si>
  <si>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</si>
  <si>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</si>
  <si>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</si>
  <si>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</si>
  <si>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</si>
  <si>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</si>
  <si>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</si>
  <si>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</si>
  <si>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</si>
  <si>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</si>
  <si>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</si>
  <si>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</si>
  <si>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</si>
  <si>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</si>
  <si>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</si>
  <si>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</si>
  <si>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</si>
  <si>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</si>
  <si>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</si>
  <si>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</si>
  <si>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</si>
  <si>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</si>
  <si>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</si>
  <si>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</si>
  <si>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</si>
  <si>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</si>
  <si>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</si>
  <si>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</si>
  <si>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</si>
  <si>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</si>
  <si>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</si>
  <si>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</si>
  <si>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</si>
  <si>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</si>
  <si>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</si>
  <si>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</si>
  <si>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</si>
  <si>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</si>
  <si>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</si>
  <si>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</si>
  <si>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</si>
  <si>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</si>
  <si>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</si>
  <si>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</si>
  <si>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</si>
  <si>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</si>
  <si>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</si>
  <si>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</si>
  <si>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</si>
  <si>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</si>
  <si>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</si>
  <si>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</si>
  <si>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</si>
  <si>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</si>
  <si>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</si>
  <si>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</si>
  <si>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</si>
  <si>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</si>
  <si>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</si>
  <si>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</si>
  <si>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</si>
  <si>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</si>
  <si>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</si>
  <si>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</si>
  <si>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</si>
  <si>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</si>
  <si>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</si>
  <si>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</si>
  <si>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</si>
  <si>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</si>
  <si>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</si>
  <si>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</si>
  <si>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</si>
  <si>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</si>
  <si>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</si>
  <si>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</si>
  <si>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</si>
  <si>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</si>
  <si>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</si>
  <si>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</si>
  <si>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</si>
  <si>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</si>
  <si>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</si>
  <si>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</si>
  <si>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</si>
  <si>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</si>
  <si>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</si>
  <si>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</si>
  <si>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</si>
  <si>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</si>
  <si>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</si>
  <si>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</si>
  <si>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</si>
  <si>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</si>
  <si>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</si>
  <si>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</si>
  <si>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</si>
  <si>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</si>
  <si>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</si>
  <si>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</si>
  <si>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</si>
  <si>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</si>
  <si>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</si>
  <si>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</si>
  <si>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</si>
  <si>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</si>
  <si>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</si>
  <si>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</si>
  <si>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</si>
  <si>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</si>
  <si>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</si>
  <si>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</si>
  <si>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</si>
  <si>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</si>
  <si>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</si>
  <si>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</si>
  <si>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</si>
  <si>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</si>
  <si>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</si>
  <si>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</si>
  <si>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</si>
  <si>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</si>
  <si>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</si>
  <si>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</si>
  <si>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</si>
  <si>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</si>
  <si>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</si>
  <si>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</si>
  <si>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</si>
  <si>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</si>
  <si>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</si>
  <si>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</si>
  <si>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</si>
  <si>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</si>
  <si>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</si>
  <si>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</si>
  <si>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</si>
  <si>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</si>
  <si>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</si>
  <si>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</si>
  <si>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</si>
  <si>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</si>
  <si>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</si>
  <si>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</si>
  <si>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</si>
  <si>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</si>
  <si>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</si>
  <si>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</si>
  <si>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</si>
  <si>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</si>
  <si>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</si>
  <si>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</si>
  <si>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</si>
  <si>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</si>
  <si>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</si>
  <si>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</si>
  <si>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</si>
  <si>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</si>
  <si>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</si>
  <si>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</si>
  <si>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</si>
  <si>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</si>
  <si>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</si>
  <si>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</si>
  <si>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</si>
  <si>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</si>
  <si>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</si>
  <si>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</si>
  <si>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</si>
  <si>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</si>
  <si>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</si>
  <si>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</si>
  <si>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</si>
  <si>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</si>
  <si>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</si>
  <si>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</si>
  <si>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</si>
  <si>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</si>
  <si>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</si>
  <si>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</si>
  <si>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</si>
  <si>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</si>
  <si>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</si>
  <si>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</si>
  <si>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</si>
  <si>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</si>
  <si>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</si>
  <si>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</si>
  <si>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</si>
  <si>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</si>
  <si>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</si>
  <si>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</si>
  <si>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</si>
  <si>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</si>
  <si>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</si>
  <si>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</si>
  <si>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</si>
  <si>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</si>
  <si>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</si>
  <si>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</si>
  <si>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</si>
  <si>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</si>
  <si>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</si>
  <si>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</si>
  <si>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</si>
  <si>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</si>
  <si>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</si>
  <si>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</si>
  <si>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</si>
  <si>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</si>
  <si>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</si>
  <si>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</si>
  <si>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Чистая выручка</t>
  </si>
  <si>
    <t>Общий итог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</si>
  <si>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</si>
  <si>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</si>
  <si>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</si>
  <si>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</si>
  <si>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</si>
  <si>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</si>
  <si>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</si>
  <si>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</si>
  <si>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</si>
  <si>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</si>
  <si>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</si>
  <si>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</si>
  <si>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</si>
  <si>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</si>
  <si>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</si>
  <si>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</si>
  <si>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</si>
  <si>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</si>
  <si>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</si>
  <si>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</si>
  <si>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</si>
  <si>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</si>
  <si>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Категория</t>
  </si>
  <si>
    <t>Год-месяц</t>
  </si>
  <si>
    <t>Общая выручка</t>
  </si>
  <si>
    <t xml:space="preserve"> ProductID </t>
  </si>
  <si>
    <t>Выручка, руб.</t>
  </si>
  <si>
    <t>Выручка, тыс.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</si>
</sst>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Обычный" xfId="0" builtinId="0"/>
  </cellStyles>
  <dxfs count="24">
    <dxf>
      <numFmt numFmtId="166" formatCode="0.000"/>
    </dxf>
    <dxf>
      <numFmt numFmtId="2" formatCode="0.00"/>
    </dxf>
    <dxf>
      <numFmt numFmtId="166" formatCode="0.000"/>
    </dxf>
    <dxf>
      <numFmt numFmtId="168" formatCode="0.0000"/>
    </dxf>
    <dxf>
      <numFmt numFmtId="168" formatCode="0.0000"/>
    </dxf>
    <dxf>
      <numFmt numFmtId="169" formatCode="0.00000"/>
    </dxf>
    <dxf>
      <numFmt numFmtId="169" formatCode="0.00000"/>
    </dxf>
    <dxf>
      <numFmt numFmtId="166" formatCode="0.000"/>
    </dxf>
    <dxf>
      <numFmt numFmtId="2" formatCode="0.00"/>
    </dxf>
    <dxf>
      <numFmt numFmtId="2" formatCode="0.00"/>
    </dxf>
    <dxf>
      <numFmt numFmtId="166" formatCode="0.0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[Книга1.xlsx]Топ-5 продуктов!Сводная таблица10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Топ-5 продуктов по чистой выручке</a:t>
            </a:r>
            <a:endParaRPr lang="ru-RU"/>
          </a:p>
        </c:rich>
      </c:tx>
      <c:layout>
        <c:manualLayout>
          <c:xMode val="edge"/>
          <c:yMode val="edge"/>
          <c:x val="0.23506933508311456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'Топ-5 продуктов'!$B$3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'Топ-5 продуктов'!$A$4:$A$9</c:f>
              <c:strCache>
                <c:ptCount val="5"/>
                <c:pt idx="0">
                  <c:v>127</c:v>
                </c:pt>
                <c:pt idx="1">
                  <c:v>146</c:v>
                </c:pt>
                <c:pt idx="2">
                  <c:v>112</c:v>
                </c:pt>
                <c:pt idx="3">
                  <c:v>116</c:v>
                </c:pt>
                <c:pt idx="4">
                  <c:v>199</c:v>
                </c:pt>
              </c:strCache>
            </c:strRef>
          </c:cat>
          <c:val>
            <c:numRef>
              <c:f>'Топ-5 продуктов'!$B$4:$B$9</c:f>
              <c:numCache>
                <c:formatCode>0.00</c:formatCode>
                <c:ptCount val="5"/>
                <c:pt idx="0">
                  <c:v>359341.34215846728</c:v>
                </c:pt>
                <c:pt idx="1">
                  <c:v>337228.1102401556</c:v>
                </c:pt>
                <c:pt idx="2">
                  <c:v>317763.68417628476</c:v>
                </c:pt>
                <c:pt idx="3">
                  <c:v>296762.40137978201</c:v>
                </c:pt>
                <c:pt idx="4">
                  <c:v>292415.15575564274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C-496E-A178-82B5C50E2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3825920"/>
        <c:axId val="243826400"/>
      </c:barChart>
      <c:catAx>
        <c:axId val="24382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baseline="0">
                    <a:effectLst/>
                  </a:rPr>
                  <a:t>ProductID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826400"/>
        <c:crosses val="autoZero"/>
        <c:auto val="1"/>
        <c:lblAlgn val="ctr"/>
        <c:lblOffset val="100"/>
        <c:noMultiLvlLbl val="0"/>
      </c:catAx>
      <c:valAx>
        <c:axId val="2438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Выручка, руб.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82592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[Книга1.xlsx]Продажи по месяцам!Сводная таблица7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1" u="none" strike="noStrike" baseline="0">
                <a:effectLst/>
              </a:rPr>
              <a:t>Динамика чистой выручки по месяцам, тыс. руб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53937007874017"/>
          <c:y val="0.25198855351414406"/>
          <c:w val="0.7489050743657043"/>
          <c:h val="0.4876742490522018"/>
        </c:manualLayout>
      </c:layout>
      <c:lineChart>
        <c:grouping val="standard"/>
        <c:varyColors val="0"/>
        <c:ser>
          <c:idx val="0"/>
          <c:order val="0"/>
          <c:tx>
            <c:strRef>
              <c:f>'Продажи по месяцам'!$B$3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'Продажи по месяцам'!$A$4:$A$25</c:f>
              <c:strCache>
                <c:ptCount val="21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</c:strCache>
            </c:strRef>
          </c:cat>
          <c:val>
            <c:numRef>
              <c:f>'Продажи по месяцам'!$B$4:$B$25</c:f>
              <c:numCache>
                <c:formatCode>0.00</c:formatCode>
                <c:ptCount val="21"/>
                <c:pt idx="0">
                  <c:v>943883.8139976532</c:v>
                </c:pt>
                <c:pt idx="1">
                  <c:v>980751.59467023727</c:v>
                </c:pt>
                <c:pt idx="2">
                  <c:v>745916.01405885478</c:v>
                </c:pt>
                <c:pt idx="3">
                  <c:v>797176.2739497982</c:v>
                </c:pt>
                <c:pt idx="4">
                  <c:v>884252.98856728442</c:v>
                </c:pt>
                <c:pt idx="5">
                  <c:v>795089.79024855781</c:v>
                </c:pt>
                <c:pt idx="6">
                  <c:v>863823.86325335805</c:v>
                </c:pt>
                <c:pt idx="7">
                  <c:v>966626.53982023278</c:v>
                </c:pt>
                <c:pt idx="8">
                  <c:v>783469.942049584</c:v>
                </c:pt>
                <c:pt idx="9">
                  <c:v>793901.78076974349</c:v>
                </c:pt>
                <c:pt idx="10">
                  <c:v>792710.90806783095</c:v>
                </c:pt>
                <c:pt idx="11">
                  <c:v>836577.12184144533</c:v>
                </c:pt>
                <c:pt idx="12">
                  <c:v>983587.68545446976</c:v>
                </c:pt>
                <c:pt idx="13">
                  <c:v>769945.01363958989</c:v>
                </c:pt>
                <c:pt idx="14">
                  <c:v>629401.26287680329</c:v>
                </c:pt>
                <c:pt idx="15">
                  <c:v>788381.40950883867</c:v>
                </c:pt>
                <c:pt idx="16">
                  <c:v>1019852.5611738224</c:v>
                </c:pt>
                <c:pt idx="17">
                  <c:v>821052.17958148045</c:v>
                </c:pt>
                <c:pt idx="18">
                  <c:v>820846.64092787914</c:v>
                </c:pt>
                <c:pt idx="19">
                  <c:v>837076.52798317105</c:v>
                </c:pt>
                <c:pt idx="20">
                  <c:v>980443.4453821237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D-4C51-A2F9-358F97AD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078719"/>
        <c:axId val="1293076319"/>
      </c:lineChart>
      <c:catAx>
        <c:axId val="129307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Месяц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3076319"/>
        <c:crosses val="autoZero"/>
        <c:auto val="1"/>
        <c:lblAlgn val="ctr"/>
        <c:lblOffset val="100"/>
        <c:noMultiLvlLbl val="0"/>
      </c:catAx>
      <c:valAx>
        <c:axId val="12930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Выручка, тыс. руб.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30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0</xdr:row>
      <xdr:rowOff>173567</xdr:rowOff>
    </xdr:from>
    <xdr:to>
      <xdr:col>9</xdr:col>
      <xdr:colOff>315382</xdr:colOff>
      <xdr:row>16</xdr:row>
      <xdr:rowOff>4234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DEEC1C-5AA5-ED9F-FD46-B353144C3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370416</xdr:colOff>
      <xdr:row>2</xdr:row>
      <xdr:rowOff>118533</xdr:rowOff>
    </xdr:from>
    <xdr:to>
      <xdr:col>9</xdr:col>
      <xdr:colOff>438149</xdr:colOff>
      <xdr:row>17</xdr:row>
      <xdr:rowOff>131233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9738893-406E-0D72-80CA-29020F1C4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94856b4fc257ec9/Desktop/&#1089;&#1080;&#1089;&#1090;&#1077;&#1084;&#1085;&#1099;&#1081;%20&#1072;&#1085;&#1072;&#1083;&#1080;&#1079;/&#1087;&#1088;&#1086;&#1077;&#1082;&#1090;%20&#1055;&#1088;&#1086;&#1076;&#1072;&#1078;&#1080;/pivot_tables.xlsx" TargetMode="External"/><Relationship Id="rId1" Type="http://schemas.openxmlformats.org/officeDocument/2006/relationships/externalLinkPath" Target="pivot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дажи по месяцам"/>
      <sheetName val="Выручка по категориям"/>
      <sheetName val="Общая выручка"/>
      <sheetName val="Лист5"/>
      <sheetName val="Топ-5 продуктов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39.661768518519" createdVersion="8" refreshedVersion="8" minRefreshableVersion="3" recordCount="1000" xr:uid="{693AA26E-0392-4A48-9C4C-8EEE5E1239A5}">
  <cacheSource type="worksheet">
    <worksheetSource name="sales_data"/>
  </cacheSource>
  <cacheFields count="15">
    <cacheField name="CustomerID" numFmtId="0">
      <sharedItems/>
    </cacheField>
    <cacheField name="Region" numFmtId="0">
      <sharedItems/>
    </cacheField>
    <cacheField name="Sales" numFmtId="0">
      <sharedItems containsSemiMixedTypes="0" containsString="0" containsNumber="1" minValue="0" maxValue="35394.404042276103"/>
    </cacheField>
    <cacheField name="Discount" numFmtId="0">
      <sharedItems containsSemiMixedTypes="0" containsString="0" containsNumber="1" containsInteger="1" minValue="0" maxValue="15"/>
    </cacheField>
    <cacheField name="Date" numFmtId="14">
      <sharedItems containsSemiMixedTypes="0" containsNonDate="0" containsDate="1" containsString="0" minDate="2023-01-01T00:00:00" maxDate="2024-10-01T00:00:00"/>
    </cacheField>
    <cacheField name="ProductID" numFmtId="0">
      <sharedItems containsSemiMixedTypes="0" containsString="0" containsNumber="1" containsInteger="1" minValue="100" maxValue="199" count="100">
        <n v="164"/>
        <n v="156"/>
        <n v="192"/>
        <n v="198"/>
        <n v="139"/>
        <n v="113"/>
        <n v="134"/>
        <n v="147"/>
        <n v="183"/>
        <n v="155"/>
        <n v="148"/>
        <n v="112"/>
        <n v="160"/>
        <n v="145"/>
        <n v="161"/>
        <n v="107"/>
        <n v="142"/>
        <n v="119"/>
        <n v="196"/>
        <n v="189"/>
        <n v="138"/>
        <n v="184"/>
        <n v="163"/>
        <n v="153"/>
        <n v="108"/>
        <n v="187"/>
        <n v="136"/>
        <n v="140"/>
        <n v="116"/>
        <n v="120"/>
        <n v="150"/>
        <n v="158"/>
        <n v="154"/>
        <n v="110"/>
        <n v="118"/>
        <n v="176"/>
        <n v="144"/>
        <n v="100"/>
        <n v="175"/>
        <n v="171"/>
        <n v="111"/>
        <n v="132"/>
        <n v="191"/>
        <n v="168"/>
        <n v="124"/>
        <n v="190"/>
        <n v="186"/>
        <n v="129"/>
        <n v="146"/>
        <n v="181"/>
        <n v="117"/>
        <n v="165"/>
        <n v="167"/>
        <n v="193"/>
        <n v="135"/>
        <n v="127"/>
        <n v="114"/>
        <n v="101"/>
        <n v="162"/>
        <n v="128"/>
        <n v="173"/>
        <n v="174"/>
        <n v="109"/>
        <n v="172"/>
        <n v="102"/>
        <n v="169"/>
        <n v="126"/>
        <n v="137"/>
        <n v="115"/>
        <n v="180"/>
        <n v="178"/>
        <n v="194"/>
        <n v="122"/>
        <n v="123"/>
        <n v="152"/>
        <n v="159"/>
        <n v="197"/>
        <n v="131"/>
        <n v="166"/>
        <n v="143"/>
        <n v="199"/>
        <n v="133"/>
        <n v="106"/>
        <n v="130"/>
        <n v="103"/>
        <n v="149"/>
        <n v="125"/>
        <n v="105"/>
        <n v="141"/>
        <n v="195"/>
        <n v="121"/>
        <n v="185"/>
        <n v="104"/>
        <n v="151"/>
        <n v="177"/>
        <n v="179"/>
        <n v="170"/>
        <n v="182"/>
        <n v="157"/>
        <n v="188"/>
      </sharedItems>
    </cacheField>
    <cacheField name="Quantity" numFmtId="0">
      <sharedItems containsSemiMixedTypes="0" containsString="0" containsNumber="1" containsInteger="1" minValue="1" maxValue="99"/>
    </cacheField>
    <cacheField name="Return" numFmtId="0">
      <sharedItems/>
    </cacheField>
    <cacheField name="CustomerType" numFmtId="0">
      <sharedItems/>
    </cacheField>
    <cacheField name="SalesChannel" numFmtId="0">
      <sharedItems/>
    </cacheField>
    <cacheField name="PaymentMethod" numFmtId="0">
      <sharedItems/>
    </cacheField>
    <cacheField name="SatisfactionScore" numFmtId="2">
      <sharedItems/>
    </cacheField>
    <cacheField name="ProductCategory" numFmtId="0">
      <sharedItems count="7">
        <s v="Electronics"/>
        <s v="Sports"/>
        <s v="Health &amp; Beauty"/>
        <s v="Home &amp; Kitchen"/>
        <s v="Books"/>
        <s v="Toys"/>
        <s v="Clothing"/>
      </sharedItems>
    </cacheField>
    <cacheField name="Month" numFmtId="0">
      <sharedItems count="21">
        <s v="2024-02"/>
        <s v="2024-05"/>
        <s v="2024-08"/>
        <s v="2024-04"/>
        <s v="2023-01"/>
        <s v="2024-06"/>
        <s v="2023-12"/>
        <s v="2023-02"/>
        <s v="2023-10"/>
        <s v="2024-07"/>
        <s v="2023-03"/>
        <s v="2024-09"/>
        <s v="2024-03"/>
        <s v="2023-04"/>
        <s v="2023-05"/>
        <s v="2023-11"/>
        <s v="2023-06"/>
        <s v="2023-08"/>
        <s v="2024-01"/>
        <s v="2023-09"/>
        <s v="2023-07"/>
      </sharedItems>
    </cacheField>
    <cacheField name="Чистая выручка" numFmtId="0">
      <sharedItems containsSemiMixedTypes="0" containsString="0" containsNumber="1" minValue="0" maxValue="33624.6838401622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01"/>
    <s v="East"/>
    <n v="21708.7798788857"/>
    <n v="0"/>
    <d v="2024-02-27T00:00:00"/>
    <x v="0"/>
    <n v="16"/>
    <s v="0"/>
    <s v="VIP"/>
    <s v="Online"/>
    <s v="Credit Card"/>
    <s v="3"/>
    <x v="0"/>
    <x v="0"/>
    <n v="21708.7798788857"/>
  </r>
  <r>
    <s v="1002"/>
    <s v="West"/>
    <n v="29380.854196079399"/>
    <n v="5"/>
    <d v="2024-05-09T00:00:00"/>
    <x v="1"/>
    <n v="22"/>
    <s v="0"/>
    <s v="New"/>
    <s v="In-Store"/>
    <s v="Bank Transfer"/>
    <s v="6"/>
    <x v="1"/>
    <x v="1"/>
    <n v="27911.81148627543"/>
  </r>
  <r>
    <s v="1003"/>
    <s v="North"/>
    <n v="24752.1191909302"/>
    <n v="15"/>
    <d v="2024-05-01T00:00:00"/>
    <x v="2"/>
    <n v="85"/>
    <s v="0"/>
    <s v="New"/>
    <s v="In-Store"/>
    <s v="Credit Card"/>
    <s v="2"/>
    <x v="2"/>
    <x v="1"/>
    <n v="21039.301312290667"/>
  </r>
  <r>
    <s v="1004"/>
    <s v="East"/>
    <n v="17115.481721687898"/>
    <n v="5"/>
    <d v="2024-08-25T00:00:00"/>
    <x v="3"/>
    <n v="54"/>
    <s v="0"/>
    <s v="Returning"/>
    <s v="Direct"/>
    <s v="Cash"/>
    <s v="10"/>
    <x v="1"/>
    <x v="2"/>
    <n v="16259.707635603503"/>
  </r>
  <r>
    <s v="1005"/>
    <s v="East"/>
    <n v="15507.926643258201"/>
    <n v="0"/>
    <d v="2024-05-31T00:00:00"/>
    <x v="4"/>
    <n v="21"/>
    <s v="0"/>
    <s v="New"/>
    <s v="In-Store"/>
    <s v="Credit Card"/>
    <s v="1"/>
    <x v="1"/>
    <x v="1"/>
    <n v="15507.926643258201"/>
  </r>
  <r>
    <s v="1006"/>
    <s v="nan"/>
    <n v="22459.595857532498"/>
    <n v="15"/>
    <d v="2024-08-11T00:00:00"/>
    <x v="5"/>
    <n v="72"/>
    <s v="0"/>
    <s v="New"/>
    <s v="Online"/>
    <s v="Credit Card"/>
    <s v="1"/>
    <x v="3"/>
    <x v="2"/>
    <n v="19090.656478902623"/>
  </r>
  <r>
    <s v="1007"/>
    <s v="North"/>
    <n v="13398.833964896699"/>
    <n v="0"/>
    <d v="2024-08-19T00:00:00"/>
    <x v="6"/>
    <n v="16"/>
    <s v="1"/>
    <s v="New"/>
    <s v="Direct"/>
    <s v="Cash"/>
    <s v="5"/>
    <x v="4"/>
    <x v="2"/>
    <n v="13398.833964896701"/>
  </r>
  <r>
    <s v="1008"/>
    <s v="North"/>
    <n v="29157.293829271701"/>
    <n v="5"/>
    <d v="2024-04-06T00:00:00"/>
    <x v="7"/>
    <n v="59"/>
    <s v="0"/>
    <s v="Returning"/>
    <s v="Online"/>
    <s v="Cash"/>
    <s v="4"/>
    <x v="4"/>
    <x v="3"/>
    <n v="27699.429137808118"/>
  </r>
  <r>
    <s v="1009"/>
    <s v="East"/>
    <n v="25897.200603606401"/>
    <n v="15"/>
    <d v="2023-01-16T00:00:00"/>
    <x v="8"/>
    <n v="31"/>
    <s v="0"/>
    <s v="New"/>
    <s v="Direct"/>
    <s v="Credit Card"/>
    <s v="1"/>
    <x v="5"/>
    <x v="4"/>
    <n v="22012.620513065442"/>
  </r>
  <r>
    <s v="1010"/>
    <s v="South"/>
    <n v="17654.121739476399"/>
    <n v="5"/>
    <d v="2024-05-29T00:00:00"/>
    <x v="9"/>
    <n v="42"/>
    <s v="0"/>
    <s v="VIP"/>
    <s v="Direct"/>
    <s v="Cash"/>
    <s v="4"/>
    <x v="1"/>
    <x v="1"/>
    <n v="16771.415652502579"/>
  </r>
  <r>
    <s v="1011"/>
    <s v="East"/>
    <n v="11434.3273545456"/>
    <n v="0"/>
    <d v="2024-06-28T00:00:00"/>
    <x v="10"/>
    <n v="74"/>
    <s v="0"/>
    <s v="Returning"/>
    <s v="In-Store"/>
    <s v="Cash"/>
    <s v="3"/>
    <x v="4"/>
    <x v="5"/>
    <n v="11434.3273545456"/>
  </r>
  <r>
    <s v="1012"/>
    <s v="East"/>
    <n v="26769.361870827001"/>
    <n v="0"/>
    <d v="2024-02-28T00:00:00"/>
    <x v="11"/>
    <n v="32"/>
    <s v="0"/>
    <s v="Returning"/>
    <s v="Online"/>
    <s v="Cash"/>
    <s v="2"/>
    <x v="2"/>
    <x v="0"/>
    <n v="26769.361870827001"/>
  </r>
  <r>
    <s v="1013"/>
    <s v="East"/>
    <n v="19427.300773736901"/>
    <n v="5"/>
    <d v="2023-12-08T00:00:00"/>
    <x v="12"/>
    <n v="59"/>
    <s v="0"/>
    <s v="VIP"/>
    <s v="Direct"/>
    <s v="Cash"/>
    <s v="9"/>
    <x v="6"/>
    <x v="6"/>
    <n v="18455.935735050054"/>
  </r>
  <r>
    <s v="1014"/>
    <s v="East"/>
    <n v="0"/>
    <n v="15"/>
    <d v="2024-05-02T00:00:00"/>
    <x v="10"/>
    <n v="34"/>
    <s v="0"/>
    <s v="VIP"/>
    <s v="In-Store"/>
    <s v="Cash"/>
    <s v="1"/>
    <x v="2"/>
    <x v="1"/>
    <n v="0"/>
  </r>
  <r>
    <s v="1015"/>
    <s v="West"/>
    <n v="12027.861706028099"/>
    <n v="5"/>
    <d v="2023-02-07T00:00:00"/>
    <x v="13"/>
    <n v="9"/>
    <s v="0"/>
    <s v="VIP"/>
    <s v="Direct"/>
    <s v="Cash"/>
    <s v="7"/>
    <x v="0"/>
    <x v="7"/>
    <n v="11426.468620726695"/>
  </r>
  <r>
    <s v="1016"/>
    <s v="nan"/>
    <n v="0"/>
    <n v="0"/>
    <d v="2023-10-25T00:00:00"/>
    <x v="14"/>
    <n v="81"/>
    <s v="0"/>
    <s v="New"/>
    <s v="Direct"/>
    <s v="Bank Transfer"/>
    <s v="4"/>
    <x v="4"/>
    <x v="8"/>
    <n v="0"/>
  </r>
  <r>
    <s v="1017"/>
    <s v="West"/>
    <n v="20026.218498590901"/>
    <n v="5"/>
    <d v="2023-10-04T00:00:00"/>
    <x v="15"/>
    <n v="11"/>
    <s v="0"/>
    <s v="VIP"/>
    <s v="Direct"/>
    <s v="Credit Card"/>
    <s v="5"/>
    <x v="4"/>
    <x v="8"/>
    <n v="19024.907573661356"/>
  </r>
  <r>
    <s v="1018"/>
    <s v="West"/>
    <n v="20234.902968823699"/>
    <n v="0"/>
    <d v="2024-07-14T00:00:00"/>
    <x v="16"/>
    <n v="96"/>
    <s v="0"/>
    <s v="New"/>
    <s v="Direct"/>
    <s v="Cash"/>
    <s v="10"/>
    <x v="5"/>
    <x v="9"/>
    <n v="20234.902968823699"/>
  </r>
  <r>
    <s v="1019"/>
    <s v="West"/>
    <n v="17749.672642603698"/>
    <n v="5"/>
    <d v="2023-02-11T00:00:00"/>
    <x v="17"/>
    <n v="10"/>
    <s v="0"/>
    <s v="Returning"/>
    <s v="Direct"/>
    <s v="Credit Card"/>
    <s v="5"/>
    <x v="1"/>
    <x v="7"/>
    <n v="16862.189010473514"/>
  </r>
  <r>
    <s v="1020"/>
    <s v="East"/>
    <n v="23114.249661737402"/>
    <n v="15"/>
    <d v="2024-08-03T00:00:00"/>
    <x v="18"/>
    <n v="86"/>
    <s v="0"/>
    <s v="Returning"/>
    <s v="Direct"/>
    <s v="Bank Transfer"/>
    <s v="1"/>
    <x v="6"/>
    <x v="2"/>
    <n v="19647.11221247679"/>
  </r>
  <r>
    <s v="1021"/>
    <s v="South"/>
    <n v="14661.897853087001"/>
    <n v="15"/>
    <d v="2023-12-27T00:00:00"/>
    <x v="19"/>
    <n v="17"/>
    <s v="0"/>
    <s v="VIP"/>
    <s v="In-Store"/>
    <s v="Cash"/>
    <s v="6"/>
    <x v="4"/>
    <x v="6"/>
    <n v="12462.613175123952"/>
  </r>
  <r>
    <s v="1022"/>
    <s v="North"/>
    <n v="19288.102574893499"/>
    <n v="5"/>
    <d v="2024-08-15T00:00:00"/>
    <x v="20"/>
    <n v="68"/>
    <s v="0"/>
    <s v="New"/>
    <s v="Direct"/>
    <s v="Credit Card"/>
    <s v="9"/>
    <x v="5"/>
    <x v="2"/>
    <n v="18323.697446148824"/>
  </r>
  <r>
    <s v="1023"/>
    <s v="South"/>
    <n v="20601.478158559399"/>
    <n v="5"/>
    <d v="2023-03-09T00:00:00"/>
    <x v="21"/>
    <n v="48"/>
    <s v="0"/>
    <s v="VIP"/>
    <s v="Online"/>
    <s v="Cash"/>
    <s v="2"/>
    <x v="5"/>
    <x v="10"/>
    <n v="19571.404250631429"/>
  </r>
  <r>
    <s v="1024"/>
    <s v="West"/>
    <n v="22572.1941702937"/>
    <n v="15"/>
    <d v="2023-03-02T00:00:00"/>
    <x v="10"/>
    <n v="52"/>
    <s v="1"/>
    <s v="VIP"/>
    <s v="In-Store"/>
    <s v="Cash"/>
    <s v="7"/>
    <x v="6"/>
    <x v="10"/>
    <n v="19186.365044749644"/>
  </r>
  <r>
    <s v="1025"/>
    <s v="West"/>
    <n v="23558.074390444399"/>
    <n v="0"/>
    <d v="2024-09-22T00:00:00"/>
    <x v="22"/>
    <n v="25"/>
    <s v="0"/>
    <s v="New"/>
    <s v="Online"/>
    <s v="Cash"/>
    <s v="6"/>
    <x v="2"/>
    <x v="11"/>
    <n v="23558.074390444395"/>
  </r>
  <r>
    <s v="1026"/>
    <s v="South"/>
    <n v="14376.7895408106"/>
    <n v="15"/>
    <d v="2024-03-14T00:00:00"/>
    <x v="14"/>
    <n v="21"/>
    <s v="0"/>
    <s v="VIP"/>
    <s v="Direct"/>
    <s v="Cash"/>
    <s v="5"/>
    <x v="2"/>
    <x v="12"/>
    <n v="12220.271109689011"/>
  </r>
  <r>
    <s v="1027"/>
    <s v="South"/>
    <n v="12329.4291463218"/>
    <n v="0"/>
    <d v="2023-12-18T00:00:00"/>
    <x v="23"/>
    <n v="65"/>
    <s v="0"/>
    <s v="Returning"/>
    <s v="Online"/>
    <s v="Cash"/>
    <s v="4"/>
    <x v="2"/>
    <x v="6"/>
    <n v="12329.4291463218"/>
  </r>
  <r>
    <s v="1028"/>
    <s v="South"/>
    <n v="26388.384109492501"/>
    <n v="5"/>
    <d v="2023-04-17T00:00:00"/>
    <x v="24"/>
    <n v="63"/>
    <s v="0"/>
    <s v="VIP"/>
    <s v="Direct"/>
    <s v="Cash"/>
    <s v="4"/>
    <x v="3"/>
    <x v="13"/>
    <n v="25068.964904017877"/>
  </r>
  <r>
    <s v="1029"/>
    <s v="West"/>
    <n v="21661.570059897898"/>
    <n v="5"/>
    <d v="2023-01-27T00:00:00"/>
    <x v="25"/>
    <n v="89"/>
    <s v="0"/>
    <s v="New"/>
    <s v="Direct"/>
    <s v="Cash"/>
    <s v="6"/>
    <x v="1"/>
    <x v="4"/>
    <n v="20578.491556903002"/>
  </r>
  <r>
    <s v="1030"/>
    <s v="West"/>
    <n v="16257.567317217199"/>
    <n v="0"/>
    <d v="2024-07-14T00:00:00"/>
    <x v="26"/>
    <n v="51"/>
    <s v="0"/>
    <s v="New"/>
    <s v="In-Store"/>
    <s v="Bank Transfer"/>
    <s v="4"/>
    <x v="1"/>
    <x v="9"/>
    <n v="16257.567317217199"/>
  </r>
  <r>
    <s v="1031"/>
    <s v="North"/>
    <n v="27755.7598776126"/>
    <n v="5"/>
    <d v="2023-03-07T00:00:00"/>
    <x v="10"/>
    <n v="36"/>
    <s v="0"/>
    <s v="Returning"/>
    <s v="In-Store"/>
    <s v="Bank Transfer"/>
    <s v="5"/>
    <x v="2"/>
    <x v="10"/>
    <n v="26367.971883731967"/>
  </r>
  <r>
    <s v="1032"/>
    <s v="North"/>
    <n v="20578.373171464202"/>
    <n v="0"/>
    <d v="2024-06-23T00:00:00"/>
    <x v="27"/>
    <n v="81"/>
    <s v="0"/>
    <s v="New"/>
    <s v="Direct"/>
    <s v="Cash"/>
    <s v="6"/>
    <x v="6"/>
    <x v="5"/>
    <n v="20578.373171464202"/>
  </r>
  <r>
    <s v="1033"/>
    <s v="West"/>
    <n v="25896.485920319101"/>
    <n v="10"/>
    <d v="2023-05-10T00:00:00"/>
    <x v="28"/>
    <n v="88"/>
    <s v="0"/>
    <s v="New"/>
    <s v="In-Store"/>
    <s v="Cash"/>
    <s v="5"/>
    <x v="3"/>
    <x v="14"/>
    <n v="23306.837328287191"/>
  </r>
  <r>
    <s v="1034"/>
    <s v="South"/>
    <n v="0"/>
    <n v="15"/>
    <d v="2023-11-28T00:00:00"/>
    <x v="25"/>
    <n v="66"/>
    <s v="0"/>
    <s v="Returning"/>
    <s v="Online"/>
    <s v="Bank Transfer"/>
    <s v="7"/>
    <x v="1"/>
    <x v="15"/>
    <n v="0"/>
  </r>
  <r>
    <s v="1035"/>
    <s v="South"/>
    <n v="30303.7396244099"/>
    <n v="10"/>
    <d v="2024-09-14T00:00:00"/>
    <x v="29"/>
    <n v="15"/>
    <s v="0"/>
    <s v="VIP"/>
    <s v="In-Store"/>
    <s v="Bank Transfer"/>
    <s v="9"/>
    <x v="2"/>
    <x v="11"/>
    <n v="27273.36566196891"/>
  </r>
  <r>
    <s v="1036"/>
    <s v="North"/>
    <n v="28776.704212215998"/>
    <n v="0"/>
    <d v="2023-06-29T00:00:00"/>
    <x v="30"/>
    <n v="96"/>
    <s v="0"/>
    <s v="Returning"/>
    <s v="In-Store"/>
    <s v="Bank Transfer"/>
    <s v="10"/>
    <x v="3"/>
    <x v="16"/>
    <n v="28776.704212215998"/>
  </r>
  <r>
    <s v="1037"/>
    <s v="West"/>
    <n v="18755.179257604599"/>
    <n v="15"/>
    <d v="2024-08-02T00:00:00"/>
    <x v="31"/>
    <n v="39"/>
    <s v="0"/>
    <s v="VIP"/>
    <s v="Online"/>
    <s v="Cash"/>
    <s v="7"/>
    <x v="6"/>
    <x v="2"/>
    <n v="15941.902368963911"/>
  </r>
  <r>
    <s v="1038"/>
    <s v="North"/>
    <n v="24857.854754771699"/>
    <n v="0"/>
    <d v="2023-01-27T00:00:00"/>
    <x v="20"/>
    <n v="70"/>
    <s v="0"/>
    <s v="Returning"/>
    <s v="In-Store"/>
    <s v="Credit Card"/>
    <s v="7"/>
    <x v="2"/>
    <x v="4"/>
    <n v="24857.854754771699"/>
  </r>
  <r>
    <s v="1039"/>
    <s v="North"/>
    <n v="23226.879747925701"/>
    <n v="15"/>
    <d v="2024-08-27T00:00:00"/>
    <x v="32"/>
    <n v="1"/>
    <s v="0"/>
    <s v="VIP"/>
    <s v="Direct"/>
    <s v="Credit Card"/>
    <s v="4"/>
    <x v="0"/>
    <x v="2"/>
    <n v="19742.847785736845"/>
  </r>
  <r>
    <s v="1040"/>
    <s v="East"/>
    <n v="26843.157787661701"/>
    <n v="15"/>
    <d v="2023-03-11T00:00:00"/>
    <x v="27"/>
    <n v="23"/>
    <s v="0"/>
    <s v="Returning"/>
    <s v="Online"/>
    <s v="Credit Card"/>
    <s v="1"/>
    <x v="4"/>
    <x v="10"/>
    <n v="22816.684119512447"/>
  </r>
  <r>
    <s v="1041"/>
    <s v="East"/>
    <n v="15175.3826970994"/>
    <n v="15"/>
    <d v="2024-09-21T00:00:00"/>
    <x v="20"/>
    <n v="39"/>
    <s v="0"/>
    <s v="VIP"/>
    <s v="Direct"/>
    <s v="Credit Card"/>
    <s v="8"/>
    <x v="6"/>
    <x v="11"/>
    <n v="12899.075292534491"/>
  </r>
  <r>
    <s v="1042"/>
    <s v="East"/>
    <n v="23430.257299992099"/>
    <n v="15"/>
    <d v="2023-05-14T00:00:00"/>
    <x v="11"/>
    <n v="57"/>
    <s v="1"/>
    <s v="Returning"/>
    <s v="Online"/>
    <s v="Cash"/>
    <s v="4"/>
    <x v="5"/>
    <x v="14"/>
    <n v="19915.718704993284"/>
  </r>
  <r>
    <s v="1043"/>
    <s v="South"/>
    <n v="25292.1224342479"/>
    <n v="0"/>
    <d v="2024-04-22T00:00:00"/>
    <x v="22"/>
    <n v="81"/>
    <s v="1"/>
    <s v="VIP"/>
    <s v="Direct"/>
    <s v="Credit Card"/>
    <s v="1"/>
    <x v="5"/>
    <x v="3"/>
    <n v="25292.1224342479"/>
  </r>
  <r>
    <s v="1044"/>
    <s v="West"/>
    <n v="11206.302567884401"/>
    <n v="15"/>
    <d v="2024-07-07T00:00:00"/>
    <x v="33"/>
    <n v="34"/>
    <s v="0"/>
    <s v="Returning"/>
    <s v="Direct"/>
    <s v="Bank Transfer"/>
    <s v="5"/>
    <x v="6"/>
    <x v="9"/>
    <n v="9525.3571827017404"/>
  </r>
  <r>
    <s v="1045"/>
    <s v="West"/>
    <n v="0"/>
    <n v="15"/>
    <d v="2024-06-14T00:00:00"/>
    <x v="34"/>
    <n v="41"/>
    <s v="0"/>
    <s v="New"/>
    <s v="In-Store"/>
    <s v="Bank Transfer"/>
    <s v="8"/>
    <x v="5"/>
    <x v="5"/>
    <n v="0"/>
  </r>
  <r>
    <s v="1046"/>
    <s v="West"/>
    <n v="9803.8391111994897"/>
    <n v="10"/>
    <d v="2023-01-31T00:00:00"/>
    <x v="33"/>
    <n v="93"/>
    <s v="0"/>
    <s v="VIP"/>
    <s v="Direct"/>
    <s v="Credit Card"/>
    <s v="4"/>
    <x v="1"/>
    <x v="4"/>
    <n v="8823.4552000795411"/>
  </r>
  <r>
    <s v="1047"/>
    <s v="West"/>
    <n v="18652.9658277772"/>
    <n v="5"/>
    <d v="2023-03-14T00:00:00"/>
    <x v="35"/>
    <n v="73"/>
    <s v="0"/>
    <s v="Returning"/>
    <s v="In-Store"/>
    <s v="Bank Transfer"/>
    <s v="8"/>
    <x v="6"/>
    <x v="10"/>
    <n v="17720.317536388338"/>
  </r>
  <r>
    <s v="1048"/>
    <s v="East"/>
    <n v="23587.711278979801"/>
    <n v="5"/>
    <d v="2023-04-09T00:00:00"/>
    <x v="13"/>
    <n v="13"/>
    <s v="0"/>
    <s v="VIP"/>
    <s v="Online"/>
    <s v="Cash"/>
    <s v="8"/>
    <x v="0"/>
    <x v="13"/>
    <n v="22408.325715030809"/>
  </r>
  <r>
    <s v="1049"/>
    <s v="South"/>
    <n v="27511.785260480101"/>
    <n v="10"/>
    <d v="2024-02-18T00:00:00"/>
    <x v="36"/>
    <n v="70"/>
    <s v="0"/>
    <s v="VIP"/>
    <s v="Direct"/>
    <s v="Credit Card"/>
    <s v="3"/>
    <x v="6"/>
    <x v="0"/>
    <n v="24760.606734432091"/>
  </r>
  <r>
    <s v="1050"/>
    <s v="South"/>
    <n v="20370.473902098802"/>
    <n v="10"/>
    <d v="2023-11-17T00:00:00"/>
    <x v="37"/>
    <n v="6"/>
    <s v="0"/>
    <s v="Returning"/>
    <s v="Direct"/>
    <s v="Credit Card"/>
    <s v="9"/>
    <x v="2"/>
    <x v="15"/>
    <n v="18333.42651188892"/>
  </r>
  <r>
    <s v="1051"/>
    <s v="East"/>
    <n v="28143.077727856398"/>
    <n v="0"/>
    <d v="2024-03-08T00:00:00"/>
    <x v="4"/>
    <n v="84"/>
    <s v="0"/>
    <s v="VIP"/>
    <s v="Online"/>
    <s v="Cash"/>
    <s v="3"/>
    <x v="2"/>
    <x v="12"/>
    <n v="28143.077727856398"/>
  </r>
  <r>
    <s v="1052"/>
    <s v="South"/>
    <n v="13099.4927089255"/>
    <n v="0"/>
    <d v="2024-06-15T00:00:00"/>
    <x v="34"/>
    <n v="52"/>
    <s v="0"/>
    <s v="Returning"/>
    <s v="Online"/>
    <s v="Bank Transfer"/>
    <s v="1"/>
    <x v="3"/>
    <x v="5"/>
    <n v="13099.4927089255"/>
  </r>
  <r>
    <s v="1053"/>
    <s v="East"/>
    <n v="11483.0878032242"/>
    <n v="0"/>
    <d v="2024-03-29T00:00:00"/>
    <x v="38"/>
    <n v="3"/>
    <s v="0"/>
    <s v="New"/>
    <s v="Direct"/>
    <s v="Cash"/>
    <s v="2"/>
    <x v="5"/>
    <x v="12"/>
    <n v="11483.0878032242"/>
  </r>
  <r>
    <s v="1054"/>
    <s v="West"/>
    <n v="19722.261505516901"/>
    <n v="10"/>
    <d v="2024-09-21T00:00:00"/>
    <x v="39"/>
    <n v="81"/>
    <s v="0"/>
    <s v="VIP"/>
    <s v="Online"/>
    <s v="Cash"/>
    <s v="6"/>
    <x v="4"/>
    <x v="11"/>
    <n v="17750.03535496521"/>
  </r>
  <r>
    <s v="1055"/>
    <s v="East"/>
    <n v="21920.327244696498"/>
    <n v="10"/>
    <d v="2023-02-14T00:00:00"/>
    <x v="39"/>
    <n v="63"/>
    <s v="0"/>
    <s v="New"/>
    <s v="In-Store"/>
    <s v="Bank Transfer"/>
    <s v="10"/>
    <x v="5"/>
    <x v="7"/>
    <n v="19728.294520226846"/>
  </r>
  <r>
    <s v="1056"/>
    <s v="West"/>
    <n v="19836.526259529499"/>
    <n v="15"/>
    <d v="2023-11-27T00:00:00"/>
    <x v="12"/>
    <n v="49"/>
    <s v="0"/>
    <s v="VIP"/>
    <s v="Online"/>
    <s v="Cash"/>
    <s v="2"/>
    <x v="1"/>
    <x v="15"/>
    <n v="16861.047320600075"/>
  </r>
  <r>
    <s v="1057"/>
    <s v="West"/>
    <n v="9662.7894998006104"/>
    <n v="0"/>
    <d v="2024-03-30T00:00:00"/>
    <x v="40"/>
    <n v="76"/>
    <s v="0"/>
    <s v="VIP"/>
    <s v="Online"/>
    <s v="Bank Transfer"/>
    <s v="6"/>
    <x v="6"/>
    <x v="12"/>
    <n v="9662.7894998006104"/>
  </r>
  <r>
    <s v="1058"/>
    <s v="North"/>
    <n v="0"/>
    <n v="0"/>
    <d v="2023-08-02T00:00:00"/>
    <x v="12"/>
    <n v="47"/>
    <s v="0"/>
    <s v="VIP"/>
    <s v="Direct"/>
    <s v="Bank Transfer"/>
    <s v="1"/>
    <x v="4"/>
    <x v="17"/>
    <n v="0"/>
  </r>
  <r>
    <s v="1059"/>
    <s v="East"/>
    <n v="13477.652497475699"/>
    <n v="0"/>
    <d v="2023-02-12T00:00:00"/>
    <x v="41"/>
    <n v="55"/>
    <s v="0"/>
    <s v="Returning"/>
    <s v="In-Store"/>
    <s v="Cash"/>
    <s v="1"/>
    <x v="4"/>
    <x v="7"/>
    <n v="13477.652497475699"/>
  </r>
  <r>
    <s v="1060"/>
    <s v="North"/>
    <n v="23348.362744150101"/>
    <n v="5"/>
    <d v="2023-11-11T00:00:00"/>
    <x v="36"/>
    <n v="64"/>
    <s v="0"/>
    <s v="New"/>
    <s v="Online"/>
    <s v="Bank Transfer"/>
    <s v="5"/>
    <x v="5"/>
    <x v="15"/>
    <n v="22180.944606942594"/>
  </r>
  <r>
    <s v="1061"/>
    <s v="East"/>
    <n v="21832.9912304842"/>
    <n v="15"/>
    <d v="2024-02-19T00:00:00"/>
    <x v="19"/>
    <n v="65"/>
    <s v="0"/>
    <s v="VIP"/>
    <s v="In-Store"/>
    <s v="Cash"/>
    <s v="10"/>
    <x v="4"/>
    <x v="0"/>
    <n v="18558.042545911569"/>
  </r>
  <r>
    <s v="1062"/>
    <s v="East"/>
    <n v="15300.601068363199"/>
    <n v="0"/>
    <d v="2024-04-25T00:00:00"/>
    <x v="42"/>
    <n v="81"/>
    <s v="0"/>
    <s v="Returning"/>
    <s v="In-Store"/>
    <s v="Bank Transfer"/>
    <s v="9"/>
    <x v="4"/>
    <x v="3"/>
    <n v="15300.601068363199"/>
  </r>
  <r>
    <s v="1063"/>
    <s v="North"/>
    <n v="17430.665413316499"/>
    <n v="0"/>
    <d v="2024-09-08T00:00:00"/>
    <x v="43"/>
    <n v="67"/>
    <s v="0"/>
    <s v="VIP"/>
    <s v="In-Store"/>
    <s v="Credit Card"/>
    <s v="8"/>
    <x v="2"/>
    <x v="11"/>
    <n v="17430.665413316499"/>
  </r>
  <r>
    <s v="1064"/>
    <s v="North"/>
    <n v="14703.932390555199"/>
    <n v="0"/>
    <d v="2023-05-16T00:00:00"/>
    <x v="15"/>
    <n v="90"/>
    <s v="0"/>
    <s v="Returning"/>
    <s v="Direct"/>
    <s v="Bank Transfer"/>
    <s v="3"/>
    <x v="0"/>
    <x v="14"/>
    <n v="14703.932390555199"/>
  </r>
  <r>
    <s v="1065"/>
    <s v="East"/>
    <n v="19686.604513634102"/>
    <n v="5"/>
    <d v="2023-04-25T00:00:00"/>
    <x v="44"/>
    <n v="15"/>
    <s v="0"/>
    <s v="VIP"/>
    <s v="Online"/>
    <s v="Bank Transfer"/>
    <s v="3"/>
    <x v="6"/>
    <x v="13"/>
    <n v="18702.274287952398"/>
  </r>
  <r>
    <s v="1066"/>
    <s v="South"/>
    <n v="24775.7116025061"/>
    <n v="5"/>
    <d v="2024-05-03T00:00:00"/>
    <x v="45"/>
    <n v="32"/>
    <s v="0"/>
    <s v="New"/>
    <s v="Direct"/>
    <s v="Cash"/>
    <s v="1"/>
    <x v="5"/>
    <x v="1"/>
    <n v="23536.926022380794"/>
  </r>
  <r>
    <s v="1067"/>
    <s v="West"/>
    <n v="15071.3697683222"/>
    <n v="10"/>
    <d v="2024-01-26T00:00:00"/>
    <x v="13"/>
    <n v="96"/>
    <s v="0"/>
    <s v="New"/>
    <s v="Online"/>
    <s v="Bank Transfer"/>
    <s v="3"/>
    <x v="2"/>
    <x v="18"/>
    <n v="13564.23279148998"/>
  </r>
  <r>
    <s v="1068"/>
    <s v="North"/>
    <n v="22520.232577589199"/>
    <n v="15"/>
    <d v="2024-07-04T00:00:00"/>
    <x v="46"/>
    <n v="68"/>
    <s v="0"/>
    <s v="VIP"/>
    <s v="Online"/>
    <s v="Credit Card"/>
    <s v="1"/>
    <x v="1"/>
    <x v="9"/>
    <n v="19142.197690950819"/>
  </r>
  <r>
    <s v="1069"/>
    <s v="West"/>
    <n v="17348.711908137699"/>
    <n v="10"/>
    <d v="2024-01-17T00:00:00"/>
    <x v="47"/>
    <n v="18"/>
    <s v="0"/>
    <s v="Returning"/>
    <s v="Direct"/>
    <s v="Credit Card"/>
    <s v="8"/>
    <x v="1"/>
    <x v="18"/>
    <n v="15613.840717323928"/>
  </r>
  <r>
    <s v="1070"/>
    <s v="nan"/>
    <n v="16035.6358386882"/>
    <n v="15"/>
    <d v="2024-03-20T00:00:00"/>
    <x v="48"/>
    <n v="83"/>
    <s v="1"/>
    <s v="VIP"/>
    <s v="In-Store"/>
    <s v="Bank Transfer"/>
    <s v="1"/>
    <x v="3"/>
    <x v="12"/>
    <n v="13630.29046288497"/>
  </r>
  <r>
    <s v="1071"/>
    <s v="South"/>
    <n v="19464.848200227199"/>
    <n v="5"/>
    <d v="2024-01-20T00:00:00"/>
    <x v="46"/>
    <n v="43"/>
    <s v="0"/>
    <s v="Returning"/>
    <s v="In-Store"/>
    <s v="Bank Transfer"/>
    <s v="5"/>
    <x v="4"/>
    <x v="18"/>
    <n v="18491.605790215839"/>
  </r>
  <r>
    <s v="1072"/>
    <s v="South"/>
    <n v="14823.7883879031"/>
    <n v="0"/>
    <d v="2023-06-07T00:00:00"/>
    <x v="10"/>
    <n v="35"/>
    <s v="0"/>
    <s v="VIP"/>
    <s v="Online"/>
    <s v="Credit Card"/>
    <s v="9"/>
    <x v="4"/>
    <x v="16"/>
    <n v="14823.788387903101"/>
  </r>
  <r>
    <s v="1073"/>
    <s v="North"/>
    <n v="17231.753473264002"/>
    <n v="10"/>
    <d v="2023-05-17T00:00:00"/>
    <x v="48"/>
    <n v="78"/>
    <s v="0"/>
    <s v="Returning"/>
    <s v="Direct"/>
    <s v="Cash"/>
    <s v="7"/>
    <x v="5"/>
    <x v="14"/>
    <n v="15508.578125937602"/>
  </r>
  <r>
    <s v="1074"/>
    <s v="South"/>
    <n v="14010.6105370557"/>
    <n v="0"/>
    <d v="2023-08-17T00:00:00"/>
    <x v="8"/>
    <n v="58"/>
    <s v="0"/>
    <s v="New"/>
    <s v="In-Store"/>
    <s v="Credit Card"/>
    <s v="4"/>
    <x v="0"/>
    <x v="17"/>
    <n v="14010.6105370557"/>
  </r>
  <r>
    <s v="1075"/>
    <s v="North"/>
    <n v="29823.625664581901"/>
    <n v="10"/>
    <d v="2023-06-08T00:00:00"/>
    <x v="49"/>
    <n v="33"/>
    <s v="1"/>
    <s v="VIP"/>
    <s v="In-Store"/>
    <s v="Credit Card"/>
    <s v="9"/>
    <x v="0"/>
    <x v="16"/>
    <n v="26841.263098123713"/>
  </r>
  <r>
    <s v="1076"/>
    <s v="South"/>
    <n v="20176.317759858601"/>
    <n v="5"/>
    <d v="2024-02-11T00:00:00"/>
    <x v="50"/>
    <n v="14"/>
    <s v="0"/>
    <s v="New"/>
    <s v="Online"/>
    <s v="Bank Transfer"/>
    <s v="9"/>
    <x v="5"/>
    <x v="0"/>
    <n v="19167.501871865672"/>
  </r>
  <r>
    <s v="1077"/>
    <s v="West"/>
    <n v="16501.372460037001"/>
    <n v="5"/>
    <d v="2024-08-11T00:00:00"/>
    <x v="51"/>
    <n v="34"/>
    <s v="0"/>
    <s v="New"/>
    <s v="Online"/>
    <s v="Bank Transfer"/>
    <s v="2"/>
    <x v="5"/>
    <x v="2"/>
    <n v="15676.303837035151"/>
  </r>
  <r>
    <s v="1078"/>
    <s v="West"/>
    <n v="21069.899553671101"/>
    <n v="5"/>
    <d v="2024-08-29T00:00:00"/>
    <x v="52"/>
    <n v="61"/>
    <s v="0"/>
    <s v="VIP"/>
    <s v="Direct"/>
    <s v="Credit Card"/>
    <s v="10"/>
    <x v="2"/>
    <x v="2"/>
    <n v="20016.404575987548"/>
  </r>
  <r>
    <s v="1079"/>
    <s v="nan"/>
    <n v="19438.359751545799"/>
    <n v="10"/>
    <d v="2024-07-16T00:00:00"/>
    <x v="53"/>
    <n v="4"/>
    <s v="0"/>
    <s v="VIP"/>
    <s v="Online"/>
    <s v="Cash"/>
    <s v="10"/>
    <x v="1"/>
    <x v="9"/>
    <n v="17494.523776391219"/>
  </r>
  <r>
    <s v="1080"/>
    <s v="West"/>
    <n v="18895.152002333802"/>
    <n v="15"/>
    <d v="2023-11-25T00:00:00"/>
    <x v="41"/>
    <n v="88"/>
    <s v="0"/>
    <s v="Returning"/>
    <s v="In-Store"/>
    <s v="Credit Card"/>
    <s v="6"/>
    <x v="5"/>
    <x v="15"/>
    <n v="16060.879201983731"/>
  </r>
  <r>
    <s v="1081"/>
    <s v="East"/>
    <n v="23070.833500217101"/>
    <n v="10"/>
    <d v="2023-02-25T00:00:00"/>
    <x v="54"/>
    <n v="59"/>
    <s v="0"/>
    <s v="Returning"/>
    <s v="In-Store"/>
    <s v="Credit Card"/>
    <s v="4"/>
    <x v="1"/>
    <x v="7"/>
    <n v="20763.750150195392"/>
  </r>
  <r>
    <s v="1082"/>
    <s v="West"/>
    <n v="23787.538550236499"/>
    <n v="15"/>
    <d v="2024-02-27T00:00:00"/>
    <x v="49"/>
    <n v="29"/>
    <s v="0"/>
    <s v="New"/>
    <s v="In-Store"/>
    <s v="Cash"/>
    <s v="8"/>
    <x v="3"/>
    <x v="0"/>
    <n v="20219.407767701025"/>
  </r>
  <r>
    <s v="1083"/>
    <s v="North"/>
    <n v="17347.4942619473"/>
    <n v="10"/>
    <d v="2023-04-22T00:00:00"/>
    <x v="34"/>
    <n v="83"/>
    <s v="1"/>
    <s v="Returning"/>
    <s v="In-Store"/>
    <s v="Credit Card"/>
    <s v="7"/>
    <x v="1"/>
    <x v="13"/>
    <n v="15612.74483575257"/>
  </r>
  <r>
    <s v="1084"/>
    <s v="West"/>
    <n v="17120.908796776599"/>
    <n v="10"/>
    <d v="2024-04-06T00:00:00"/>
    <x v="55"/>
    <n v="6"/>
    <s v="0"/>
    <s v="Returning"/>
    <s v="Direct"/>
    <s v="Credit Card"/>
    <s v="7"/>
    <x v="2"/>
    <x v="3"/>
    <n v="15408.817917098939"/>
  </r>
  <r>
    <s v="1085"/>
    <s v="East"/>
    <n v="18624.741514241701"/>
    <n v="5"/>
    <d v="2023-09-29T00:00:00"/>
    <x v="4"/>
    <n v="97"/>
    <s v="0"/>
    <s v="VIP"/>
    <s v="Direct"/>
    <s v="Bank Transfer"/>
    <s v="10"/>
    <x v="4"/>
    <x v="19"/>
    <n v="17693.504438529617"/>
  </r>
  <r>
    <s v="1086"/>
    <s v="East"/>
    <n v="8490.3941763220701"/>
    <n v="0"/>
    <d v="2024-05-06T00:00:00"/>
    <x v="8"/>
    <n v="49"/>
    <s v="0"/>
    <s v="Returning"/>
    <s v="Online"/>
    <s v="Cash"/>
    <s v="9"/>
    <x v="4"/>
    <x v="1"/>
    <n v="8490.3941763220701"/>
  </r>
  <r>
    <s v="1087"/>
    <s v="South"/>
    <n v="12424.0446890072"/>
    <n v="0"/>
    <d v="2024-01-20T00:00:00"/>
    <x v="18"/>
    <n v="40"/>
    <s v="0"/>
    <s v="New"/>
    <s v="Online"/>
    <s v="Bank Transfer"/>
    <s v="5"/>
    <x v="1"/>
    <x v="18"/>
    <n v="12424.044689007198"/>
  </r>
  <r>
    <s v="1088"/>
    <s v="North"/>
    <n v="26834.371337222601"/>
    <n v="15"/>
    <d v="2024-05-06T00:00:00"/>
    <x v="38"/>
    <n v="83"/>
    <s v="0"/>
    <s v="Returning"/>
    <s v="Online"/>
    <s v="Bank Transfer"/>
    <s v="6"/>
    <x v="4"/>
    <x v="1"/>
    <n v="22809.215636639212"/>
  </r>
  <r>
    <s v="1089"/>
    <s v="West"/>
    <n v="28224.838567506398"/>
    <n v="0"/>
    <d v="2024-08-12T00:00:00"/>
    <x v="56"/>
    <n v="65"/>
    <s v="0"/>
    <s v="New"/>
    <s v="Direct"/>
    <s v="Cash"/>
    <s v="1"/>
    <x v="4"/>
    <x v="2"/>
    <n v="28224.838567506395"/>
  </r>
  <r>
    <s v="1090"/>
    <s v="South"/>
    <n v="18754.819802218099"/>
    <n v="10"/>
    <d v="2024-03-24T00:00:00"/>
    <x v="27"/>
    <n v="69"/>
    <s v="0"/>
    <s v="VIP"/>
    <s v="In-Store"/>
    <s v="Cash"/>
    <s v="6"/>
    <x v="6"/>
    <x v="12"/>
    <n v="16879.337821996291"/>
  </r>
  <r>
    <s v="1091"/>
    <s v="nan"/>
    <n v="22882.784815278799"/>
    <n v="10"/>
    <d v="2023-02-21T00:00:00"/>
    <x v="20"/>
    <n v="27"/>
    <s v="0"/>
    <s v="New"/>
    <s v="Online"/>
    <s v="Credit Card"/>
    <s v="2"/>
    <x v="3"/>
    <x v="7"/>
    <n v="20594.50633375092"/>
  </r>
  <r>
    <s v="1092"/>
    <s v="West"/>
    <n v="21556.250772717602"/>
    <n v="5"/>
    <d v="2024-08-14T00:00:00"/>
    <x v="57"/>
    <n v="80"/>
    <s v="0"/>
    <s v="Returning"/>
    <s v="In-Store"/>
    <s v="Bank Transfer"/>
    <s v="6"/>
    <x v="2"/>
    <x v="2"/>
    <n v="20478.438234081721"/>
  </r>
  <r>
    <s v="1093"/>
    <s v="South"/>
    <n v="35394.404042276103"/>
    <n v="5"/>
    <d v="2023-03-29T00:00:00"/>
    <x v="58"/>
    <n v="6"/>
    <s v="1"/>
    <s v="VIP"/>
    <s v="Online"/>
    <s v="Cash"/>
    <s v="9"/>
    <x v="2"/>
    <x v="10"/>
    <n v="33624.683840162295"/>
  </r>
  <r>
    <s v="1094"/>
    <s v="South"/>
    <n v="25597.8745571728"/>
    <n v="0"/>
    <d v="2023-10-03T00:00:00"/>
    <x v="59"/>
    <n v="13"/>
    <s v="0"/>
    <s v="Returning"/>
    <s v="Online"/>
    <s v="Bank Transfer"/>
    <s v="8"/>
    <x v="4"/>
    <x v="8"/>
    <n v="25597.8745571728"/>
  </r>
  <r>
    <s v="1095"/>
    <s v="South"/>
    <n v="19360.412042596101"/>
    <n v="15"/>
    <d v="2023-10-27T00:00:00"/>
    <x v="60"/>
    <n v="64"/>
    <s v="0"/>
    <s v="VIP"/>
    <s v="Online"/>
    <s v="Bank Transfer"/>
    <s v="9"/>
    <x v="0"/>
    <x v="8"/>
    <n v="16456.350236206687"/>
  </r>
  <r>
    <s v="1096"/>
    <s v="South"/>
    <n v="15222.2977969978"/>
    <n v="0"/>
    <d v="2023-08-11T00:00:00"/>
    <x v="51"/>
    <n v="62"/>
    <s v="0"/>
    <s v="VIP"/>
    <s v="Online"/>
    <s v="Cash"/>
    <s v="10"/>
    <x v="2"/>
    <x v="17"/>
    <n v="15222.2977969978"/>
  </r>
  <r>
    <s v="1097"/>
    <s v="South"/>
    <n v="11967.7683987121"/>
    <n v="0"/>
    <d v="2023-03-21T00:00:00"/>
    <x v="30"/>
    <n v="99"/>
    <s v="0"/>
    <s v="Returning"/>
    <s v="Online"/>
    <s v="Credit Card"/>
    <s v="8"/>
    <x v="3"/>
    <x v="10"/>
    <n v="11967.7683987121"/>
  </r>
  <r>
    <s v="1098"/>
    <s v="West"/>
    <n v="21017.3181793361"/>
    <n v="0"/>
    <d v="2024-07-16T00:00:00"/>
    <x v="61"/>
    <n v="19"/>
    <s v="0"/>
    <s v="Returning"/>
    <s v="In-Store"/>
    <s v="Bank Transfer"/>
    <s v="3"/>
    <x v="5"/>
    <x v="9"/>
    <n v="21017.3181793361"/>
  </r>
  <r>
    <s v="1099"/>
    <s v="South"/>
    <n v="16218.246273578399"/>
    <n v="0"/>
    <d v="2024-08-07T00:00:00"/>
    <x v="35"/>
    <n v="76"/>
    <s v="0"/>
    <s v="VIP"/>
    <s v="Online"/>
    <s v="Cash"/>
    <s v="8"/>
    <x v="3"/>
    <x v="2"/>
    <n v="16218.246273578399"/>
  </r>
  <r>
    <s v="1100"/>
    <s v="North"/>
    <n v="12888.7314520116"/>
    <n v="10"/>
    <d v="2024-07-07T00:00:00"/>
    <x v="62"/>
    <n v="80"/>
    <s v="0"/>
    <s v="VIP"/>
    <s v="In-Store"/>
    <s v="Credit Card"/>
    <s v="6"/>
    <x v="4"/>
    <x v="9"/>
    <n v="11599.85830681044"/>
  </r>
  <r>
    <s v="1101"/>
    <s v="East"/>
    <n v="16767.1355787873"/>
    <n v="15"/>
    <d v="2023-07-16T00:00:00"/>
    <x v="5"/>
    <n v="43"/>
    <s v="0"/>
    <s v="Returning"/>
    <s v="Direct"/>
    <s v="Bank Transfer"/>
    <s v="6"/>
    <x v="4"/>
    <x v="20"/>
    <n v="14252.065241969205"/>
  </r>
  <r>
    <s v="1102"/>
    <s v="South"/>
    <n v="14592.259981928"/>
    <n v="10"/>
    <d v="2024-06-29T00:00:00"/>
    <x v="49"/>
    <n v="74"/>
    <s v="0"/>
    <s v="New"/>
    <s v="Online"/>
    <s v="Cash"/>
    <s v="6"/>
    <x v="6"/>
    <x v="5"/>
    <n v="13133.0339837352"/>
  </r>
  <r>
    <s v="1103"/>
    <s v="nan"/>
    <n v="28435.708175362801"/>
    <n v="15"/>
    <d v="2023-05-27T00:00:00"/>
    <x v="30"/>
    <n v="89"/>
    <s v="0"/>
    <s v="Returning"/>
    <s v="In-Store"/>
    <s v="Bank Transfer"/>
    <s v="3"/>
    <x v="1"/>
    <x v="14"/>
    <n v="24170.351949058379"/>
  </r>
  <r>
    <s v="1104"/>
    <s v="West"/>
    <n v="24408.198784747201"/>
    <n v="5"/>
    <d v="2023-10-21T00:00:00"/>
    <x v="63"/>
    <n v="20"/>
    <s v="0"/>
    <s v="VIP"/>
    <s v="Direct"/>
    <s v="Cash"/>
    <s v="10"/>
    <x v="2"/>
    <x v="8"/>
    <n v="23187.78884550984"/>
  </r>
  <r>
    <s v="1105"/>
    <s v="South"/>
    <n v="19960.136793416899"/>
    <n v="0"/>
    <d v="2023-08-08T00:00:00"/>
    <x v="20"/>
    <n v="95"/>
    <s v="0"/>
    <s v="Returning"/>
    <s v="Direct"/>
    <s v="Cash"/>
    <s v="1"/>
    <x v="1"/>
    <x v="17"/>
    <n v="19960.136793416899"/>
  </r>
  <r>
    <s v="1106"/>
    <s v="South"/>
    <n v="27399.720694450101"/>
    <n v="10"/>
    <d v="2023-07-17T00:00:00"/>
    <x v="55"/>
    <n v="68"/>
    <s v="0"/>
    <s v="New"/>
    <s v="Direct"/>
    <s v="Bank Transfer"/>
    <s v="4"/>
    <x v="1"/>
    <x v="20"/>
    <n v="24659.748625005093"/>
  </r>
  <r>
    <s v="1107"/>
    <s v="South"/>
    <n v="20386.841538238001"/>
    <n v="15"/>
    <d v="2024-08-30T00:00:00"/>
    <x v="64"/>
    <n v="44"/>
    <s v="0"/>
    <s v="Returning"/>
    <s v="In-Store"/>
    <s v="Bank Transfer"/>
    <s v="10"/>
    <x v="2"/>
    <x v="2"/>
    <n v="17328.8153075023"/>
  </r>
  <r>
    <s v="1108"/>
    <s v="West"/>
    <n v="15693.5789933586"/>
    <n v="5"/>
    <d v="2023-01-13T00:00:00"/>
    <x v="8"/>
    <n v="23"/>
    <s v="0"/>
    <s v="VIP"/>
    <s v="Online"/>
    <s v="Cash"/>
    <s v="6"/>
    <x v="2"/>
    <x v="4"/>
    <n v="14908.90004369067"/>
  </r>
  <r>
    <s v="1109"/>
    <s v="South"/>
    <n v="27615.620386348201"/>
    <n v="5"/>
    <d v="2024-07-16T00:00:00"/>
    <x v="65"/>
    <n v="2"/>
    <s v="0"/>
    <s v="Returning"/>
    <s v="Online"/>
    <s v="Credit Card"/>
    <s v="10"/>
    <x v="4"/>
    <x v="9"/>
    <n v="26234.839367030789"/>
  </r>
  <r>
    <s v="1110"/>
    <s v="East"/>
    <n v="22694.550218423199"/>
    <n v="0"/>
    <d v="2023-12-24T00:00:00"/>
    <x v="66"/>
    <n v="22"/>
    <s v="0"/>
    <s v="VIP"/>
    <s v="In-Store"/>
    <s v="Bank Transfer"/>
    <s v="2"/>
    <x v="2"/>
    <x v="6"/>
    <n v="22694.550218423199"/>
  </r>
  <r>
    <s v="1111"/>
    <s v="West"/>
    <n v="14813.769228367701"/>
    <n v="15"/>
    <d v="2024-02-17T00:00:00"/>
    <x v="57"/>
    <n v="57"/>
    <s v="0"/>
    <s v="VIP"/>
    <s v="Online"/>
    <s v="Cash"/>
    <s v="7"/>
    <x v="0"/>
    <x v="0"/>
    <n v="12591.703844112546"/>
  </r>
  <r>
    <s v="1112"/>
    <s v="East"/>
    <n v="19048.306609581901"/>
    <n v="10"/>
    <d v="2023-12-11T00:00:00"/>
    <x v="2"/>
    <n v="72"/>
    <s v="0"/>
    <s v="Returning"/>
    <s v="In-Store"/>
    <s v="Cash"/>
    <s v="7"/>
    <x v="0"/>
    <x v="6"/>
    <n v="17143.475948623713"/>
  </r>
  <r>
    <s v="1113"/>
    <s v="West"/>
    <n v="15621.908733076199"/>
    <n v="0"/>
    <d v="2023-12-23T00:00:00"/>
    <x v="67"/>
    <n v="7"/>
    <s v="0"/>
    <s v="VIP"/>
    <s v="Online"/>
    <s v="Credit Card"/>
    <s v="4"/>
    <x v="5"/>
    <x v="6"/>
    <n v="15621.908733076199"/>
  </r>
  <r>
    <s v="1114"/>
    <s v="South"/>
    <n v="13086.0013451783"/>
    <n v="10"/>
    <d v="2023-10-31T00:00:00"/>
    <x v="64"/>
    <n v="78"/>
    <s v="0"/>
    <s v="VIP"/>
    <s v="Direct"/>
    <s v="Credit Card"/>
    <s v="4"/>
    <x v="2"/>
    <x v="8"/>
    <n v="11777.40121066047"/>
  </r>
  <r>
    <s v="1115"/>
    <s v="East"/>
    <n v="24630.887737658199"/>
    <n v="5"/>
    <d v="2023-06-21T00:00:00"/>
    <x v="68"/>
    <n v="56"/>
    <s v="0"/>
    <s v="New"/>
    <s v="Online"/>
    <s v="Credit Card"/>
    <s v="1"/>
    <x v="6"/>
    <x v="16"/>
    <n v="23399.343350775289"/>
  </r>
  <r>
    <s v="1116"/>
    <s v="West"/>
    <n v="29547.083202350601"/>
    <n v="10"/>
    <d v="2023-01-02T00:00:00"/>
    <x v="53"/>
    <n v="67"/>
    <s v="0"/>
    <s v="New"/>
    <s v="In-Store"/>
    <s v="Bank Transfer"/>
    <s v="2"/>
    <x v="5"/>
    <x v="4"/>
    <n v="26592.374882115539"/>
  </r>
  <r>
    <s v="1117"/>
    <s v="North"/>
    <n v="13007.1621309042"/>
    <n v="10"/>
    <d v="2024-05-06T00:00:00"/>
    <x v="4"/>
    <n v="16"/>
    <s v="0"/>
    <s v="New"/>
    <s v="In-Store"/>
    <s v="Cash"/>
    <s v="9"/>
    <x v="4"/>
    <x v="1"/>
    <n v="11706.44591781378"/>
  </r>
  <r>
    <s v="1118"/>
    <s v="South"/>
    <n v="22814.846183452799"/>
    <n v="0"/>
    <d v="2023-01-10T00:00:00"/>
    <x v="57"/>
    <n v="83"/>
    <s v="0"/>
    <s v="New"/>
    <s v="Direct"/>
    <s v="Cash"/>
    <s v="10"/>
    <x v="2"/>
    <x v="4"/>
    <n v="22814.846183452799"/>
  </r>
  <r>
    <s v="1119"/>
    <s v="West"/>
    <n v="16746.7871543908"/>
    <n v="10"/>
    <d v="2024-01-22T00:00:00"/>
    <x v="69"/>
    <n v="51"/>
    <s v="0"/>
    <s v="VIP"/>
    <s v="In-Store"/>
    <s v="Cash"/>
    <s v="8"/>
    <x v="0"/>
    <x v="18"/>
    <n v="15072.10843895172"/>
  </r>
  <r>
    <s v="1120"/>
    <s v="North"/>
    <n v="17564.373081176502"/>
    <n v="0"/>
    <d v="2023-08-16T00:00:00"/>
    <x v="27"/>
    <n v="82"/>
    <s v="1"/>
    <s v="Returning"/>
    <s v="Online"/>
    <s v="Credit Card"/>
    <s v="8"/>
    <x v="6"/>
    <x v="17"/>
    <n v="17564.373081176502"/>
  </r>
  <r>
    <s v="1121"/>
    <s v="West"/>
    <n v="17038.030378805601"/>
    <n v="5"/>
    <d v="2024-02-16T00:00:00"/>
    <x v="40"/>
    <n v="80"/>
    <s v="0"/>
    <s v="VIP"/>
    <s v="Online"/>
    <s v="Cash"/>
    <s v="9"/>
    <x v="5"/>
    <x v="0"/>
    <n v="16186.128859865321"/>
  </r>
  <r>
    <s v="1122"/>
    <s v="North"/>
    <n v="15680.0461516009"/>
    <n v="0"/>
    <d v="2024-06-02T00:00:00"/>
    <x v="6"/>
    <n v="72"/>
    <s v="0"/>
    <s v="VIP"/>
    <s v="Direct"/>
    <s v="Bank Transfer"/>
    <s v="7"/>
    <x v="6"/>
    <x v="5"/>
    <n v="15680.0461516009"/>
  </r>
  <r>
    <s v="1123"/>
    <s v="South"/>
    <n v="20242.6081397241"/>
    <n v="0"/>
    <d v="2024-06-19T00:00:00"/>
    <x v="0"/>
    <n v="97"/>
    <s v="0"/>
    <s v="VIP"/>
    <s v="In-Store"/>
    <s v="Credit Card"/>
    <s v="9"/>
    <x v="2"/>
    <x v="5"/>
    <n v="20242.6081397241"/>
  </r>
  <r>
    <s v="1124"/>
    <s v="East"/>
    <n v="15845.2494179448"/>
    <n v="15"/>
    <d v="2023-03-26T00:00:00"/>
    <x v="32"/>
    <n v="12"/>
    <s v="0"/>
    <s v="Returning"/>
    <s v="Direct"/>
    <s v="Credit Card"/>
    <s v="10"/>
    <x v="3"/>
    <x v="10"/>
    <n v="13468.462005253081"/>
  </r>
  <r>
    <s v="1125"/>
    <s v="North"/>
    <n v="21352.2841288991"/>
    <n v="10"/>
    <d v="2023-07-18T00:00:00"/>
    <x v="36"/>
    <n v="53"/>
    <s v="0"/>
    <s v="New"/>
    <s v="Online"/>
    <s v="Credit Card"/>
    <s v="2"/>
    <x v="6"/>
    <x v="20"/>
    <n v="19217.055716009192"/>
  </r>
  <r>
    <s v="1126"/>
    <s v="nan"/>
    <n v="19748.8094527543"/>
    <n v="5"/>
    <d v="2024-09-08T00:00:00"/>
    <x v="70"/>
    <n v="75"/>
    <s v="0"/>
    <s v="VIP"/>
    <s v="Direct"/>
    <s v="Credit Card"/>
    <s v="6"/>
    <x v="6"/>
    <x v="11"/>
    <n v="18761.368980116586"/>
  </r>
  <r>
    <s v="1127"/>
    <s v="South"/>
    <n v="18805.259765667899"/>
    <n v="0"/>
    <d v="2023-11-04T00:00:00"/>
    <x v="19"/>
    <n v="5"/>
    <s v="0"/>
    <s v="VIP"/>
    <s v="In-Store"/>
    <s v="Bank Transfer"/>
    <s v="3"/>
    <x v="4"/>
    <x v="15"/>
    <n v="18805.259765667899"/>
  </r>
  <r>
    <s v="1128"/>
    <s v="North"/>
    <n v="15462.181689792"/>
    <n v="5"/>
    <d v="2024-07-24T00:00:00"/>
    <x v="21"/>
    <n v="27"/>
    <s v="0"/>
    <s v="New"/>
    <s v="Direct"/>
    <s v="Cash"/>
    <s v="6"/>
    <x v="0"/>
    <x v="9"/>
    <n v="14689.072605302399"/>
  </r>
  <r>
    <s v="1129"/>
    <s v="West"/>
    <n v="17116.1433471583"/>
    <n v="15"/>
    <d v="2023-12-13T00:00:00"/>
    <x v="14"/>
    <n v="12"/>
    <s v="0"/>
    <s v="VIP"/>
    <s v="In-Store"/>
    <s v="Bank Transfer"/>
    <s v="3"/>
    <x v="2"/>
    <x v="6"/>
    <n v="14548.721845084554"/>
  </r>
  <r>
    <s v="1130"/>
    <s v="West"/>
    <n v="0"/>
    <n v="10"/>
    <d v="2023-07-14T00:00:00"/>
    <x v="10"/>
    <n v="17"/>
    <s v="1"/>
    <s v="Returning"/>
    <s v="In-Store"/>
    <s v="Cash"/>
    <s v="8"/>
    <x v="6"/>
    <x v="20"/>
    <n v="0"/>
  </r>
  <r>
    <s v="1131"/>
    <s v="West"/>
    <n v="22504.585938121902"/>
    <n v="0"/>
    <d v="2023-06-21T00:00:00"/>
    <x v="71"/>
    <n v="6"/>
    <s v="0"/>
    <s v="VIP"/>
    <s v="Online"/>
    <s v="Bank Transfer"/>
    <s v="4"/>
    <x v="2"/>
    <x v="16"/>
    <n v="22504.585938121902"/>
  </r>
  <r>
    <s v="1132"/>
    <s v="North"/>
    <n v="15112.2237760072"/>
    <n v="10"/>
    <d v="2023-09-21T00:00:00"/>
    <x v="44"/>
    <n v="97"/>
    <s v="1"/>
    <s v="VIP"/>
    <s v="Online"/>
    <s v="Credit Card"/>
    <s v="10"/>
    <x v="0"/>
    <x v="19"/>
    <n v="13601.001398406481"/>
  </r>
  <r>
    <s v="1133"/>
    <s v="North"/>
    <n v="20496.661527146101"/>
    <n v="15"/>
    <d v="2023-01-16T00:00:00"/>
    <x v="72"/>
    <n v="5"/>
    <s v="0"/>
    <s v="New"/>
    <s v="Online"/>
    <s v="Credit Card"/>
    <s v="6"/>
    <x v="4"/>
    <x v="4"/>
    <n v="17422.162298074185"/>
  </r>
  <r>
    <s v="1134"/>
    <s v="North"/>
    <n v="23756.9356168589"/>
    <n v="15"/>
    <d v="2024-09-17T00:00:00"/>
    <x v="73"/>
    <n v="57"/>
    <s v="0"/>
    <s v="VIP"/>
    <s v="In-Store"/>
    <s v="Bank Transfer"/>
    <s v="9"/>
    <x v="2"/>
    <x v="11"/>
    <n v="20193.395274330065"/>
  </r>
  <r>
    <s v="1135"/>
    <s v="East"/>
    <n v="11652.973594393099"/>
    <n v="5"/>
    <d v="2023-07-21T00:00:00"/>
    <x v="67"/>
    <n v="28"/>
    <s v="0"/>
    <s v="VIP"/>
    <s v="Direct"/>
    <s v="Bank Transfer"/>
    <s v="2"/>
    <x v="1"/>
    <x v="20"/>
    <n v="11070.324914673443"/>
  </r>
  <r>
    <s v="1136"/>
    <s v="North"/>
    <n v="22716.8009618996"/>
    <n v="0"/>
    <d v="2023-12-31T00:00:00"/>
    <x v="55"/>
    <n v="78"/>
    <s v="0"/>
    <s v="Returning"/>
    <s v="In-Store"/>
    <s v="Cash"/>
    <s v="2"/>
    <x v="0"/>
    <x v="6"/>
    <n v="22716.8009618996"/>
  </r>
  <r>
    <s v="1137"/>
    <s v="North"/>
    <n v="16686.8812052707"/>
    <n v="5"/>
    <d v="2024-04-07T00:00:00"/>
    <x v="29"/>
    <n v="69"/>
    <s v="0"/>
    <s v="New"/>
    <s v="Online"/>
    <s v="Bank Transfer"/>
    <s v="7"/>
    <x v="0"/>
    <x v="3"/>
    <n v="15852.537145007163"/>
  </r>
  <r>
    <s v="1138"/>
    <s v="North"/>
    <n v="22852.993342965699"/>
    <n v="15"/>
    <d v="2024-03-01T00:00:00"/>
    <x v="23"/>
    <n v="59"/>
    <s v="1"/>
    <s v="New"/>
    <s v="Online"/>
    <s v="Bank Transfer"/>
    <s v="2"/>
    <x v="5"/>
    <x v="12"/>
    <n v="19425.044341520843"/>
  </r>
  <r>
    <s v="1139"/>
    <s v="East"/>
    <n v="16183.704217287401"/>
    <n v="10"/>
    <d v="2024-06-10T00:00:00"/>
    <x v="50"/>
    <n v="33"/>
    <s v="0"/>
    <s v="Returning"/>
    <s v="Direct"/>
    <s v="Cash"/>
    <s v="2"/>
    <x v="4"/>
    <x v="5"/>
    <n v="14565.333795558661"/>
  </r>
  <r>
    <s v="1140"/>
    <s v="North"/>
    <n v="10975.589496677399"/>
    <n v="5"/>
    <d v="2023-06-25T00:00:00"/>
    <x v="54"/>
    <n v="62"/>
    <s v="0"/>
    <s v="VIP"/>
    <s v="Online"/>
    <s v="Cash"/>
    <s v="4"/>
    <x v="4"/>
    <x v="16"/>
    <n v="10426.81002184353"/>
  </r>
  <r>
    <s v="1141"/>
    <s v="West"/>
    <n v="11862.287810584099"/>
    <n v="5"/>
    <d v="2024-08-16T00:00:00"/>
    <x v="3"/>
    <n v="50"/>
    <s v="0"/>
    <s v="New"/>
    <s v="Online"/>
    <s v="Cash"/>
    <s v="9"/>
    <x v="1"/>
    <x v="2"/>
    <n v="11269.173420054894"/>
  </r>
  <r>
    <s v="1142"/>
    <s v="North"/>
    <n v="20240.4247333069"/>
    <n v="10"/>
    <d v="2023-09-05T00:00:00"/>
    <x v="36"/>
    <n v="19"/>
    <s v="0"/>
    <s v="New"/>
    <s v="Online"/>
    <s v="Bank Transfer"/>
    <s v="8"/>
    <x v="2"/>
    <x v="19"/>
    <n v="18216.38225997621"/>
  </r>
  <r>
    <s v="1143"/>
    <s v="West"/>
    <n v="21298.612508607399"/>
    <n v="5"/>
    <d v="2024-04-05T00:00:00"/>
    <x v="63"/>
    <n v="86"/>
    <s v="1"/>
    <s v="VIP"/>
    <s v="Direct"/>
    <s v="Cash"/>
    <s v="2"/>
    <x v="3"/>
    <x v="3"/>
    <n v="20233.681883177029"/>
  </r>
  <r>
    <s v="1144"/>
    <s v="West"/>
    <n v="15478.4168744779"/>
    <n v="10"/>
    <d v="2023-10-10T00:00:00"/>
    <x v="74"/>
    <n v="69"/>
    <s v="0"/>
    <s v="VIP"/>
    <s v="In-Store"/>
    <s v="Credit Card"/>
    <s v="8"/>
    <x v="1"/>
    <x v="8"/>
    <n v="13930.57518703011"/>
  </r>
  <r>
    <s v="1145"/>
    <s v="West"/>
    <n v="23192.962293886801"/>
    <n v="0"/>
    <d v="2024-09-29T00:00:00"/>
    <x v="47"/>
    <n v="66"/>
    <s v="0"/>
    <s v="New"/>
    <s v="Online"/>
    <s v="Credit Card"/>
    <s v="4"/>
    <x v="5"/>
    <x v="11"/>
    <n v="23192.962293886801"/>
  </r>
  <r>
    <s v="1146"/>
    <s v="East"/>
    <n v="11692.399688655199"/>
    <n v="10"/>
    <d v="2023-09-30T00:00:00"/>
    <x v="75"/>
    <n v="94"/>
    <s v="0"/>
    <s v="VIP"/>
    <s v="Direct"/>
    <s v="Credit Card"/>
    <s v="2"/>
    <x v="4"/>
    <x v="19"/>
    <n v="10523.159719789681"/>
  </r>
  <r>
    <s v="1147"/>
    <s v="East"/>
    <n v="19669.601006763402"/>
    <n v="0"/>
    <d v="2023-02-05T00:00:00"/>
    <x v="76"/>
    <n v="47"/>
    <s v="0"/>
    <s v="New"/>
    <s v="Online"/>
    <s v="Bank Transfer"/>
    <s v="10"/>
    <x v="0"/>
    <x v="7"/>
    <n v="19669.601006763402"/>
  </r>
  <r>
    <s v="1148"/>
    <s v="East"/>
    <n v="13944.9190011877"/>
    <n v="10"/>
    <d v="2024-03-20T00:00:00"/>
    <x v="77"/>
    <n v="39"/>
    <s v="1"/>
    <s v="VIP"/>
    <s v="Direct"/>
    <s v="Credit Card"/>
    <s v="7"/>
    <x v="4"/>
    <x v="12"/>
    <n v="12550.42710106893"/>
  </r>
  <r>
    <s v="1149"/>
    <s v="North"/>
    <n v="16740.819460989202"/>
    <n v="15"/>
    <d v="2024-09-11T00:00:00"/>
    <x v="78"/>
    <n v="68"/>
    <s v="0"/>
    <s v="VIP"/>
    <s v="Online"/>
    <s v="Bank Transfer"/>
    <s v="6"/>
    <x v="1"/>
    <x v="11"/>
    <n v="14229.69654184082"/>
  </r>
  <r>
    <s v="1150"/>
    <s v="West"/>
    <n v="0"/>
    <n v="15"/>
    <d v="2023-12-27T00:00:00"/>
    <x v="78"/>
    <n v="33"/>
    <s v="0"/>
    <s v="Returning"/>
    <s v="Direct"/>
    <s v="Bank Transfer"/>
    <s v="10"/>
    <x v="3"/>
    <x v="6"/>
    <n v="0"/>
  </r>
  <r>
    <s v="1151"/>
    <s v="nan"/>
    <n v="15697.933173580201"/>
    <n v="0"/>
    <d v="2024-04-04T00:00:00"/>
    <x v="55"/>
    <n v="13"/>
    <s v="0"/>
    <s v="VIP"/>
    <s v="Online"/>
    <s v="Credit Card"/>
    <s v="5"/>
    <x v="6"/>
    <x v="3"/>
    <n v="15697.933173580201"/>
  </r>
  <r>
    <s v="1152"/>
    <s v="East"/>
    <n v="18077.222278850801"/>
    <n v="0"/>
    <d v="2023-08-23T00:00:00"/>
    <x v="79"/>
    <n v="84"/>
    <s v="0"/>
    <s v="Returning"/>
    <s v="In-Store"/>
    <s v="Cash"/>
    <s v="1"/>
    <x v="6"/>
    <x v="17"/>
    <n v="18077.222278850801"/>
  </r>
  <r>
    <s v="1153"/>
    <s v="North"/>
    <n v="25031.4640460722"/>
    <n v="15"/>
    <d v="2024-08-23T00:00:00"/>
    <x v="70"/>
    <n v="54"/>
    <s v="0"/>
    <s v="VIP"/>
    <s v="Online"/>
    <s v="Bank Transfer"/>
    <s v="2"/>
    <x v="4"/>
    <x v="2"/>
    <n v="21276.744439161368"/>
  </r>
  <r>
    <s v="1154"/>
    <s v="East"/>
    <n v="17115.540652384199"/>
    <n v="0"/>
    <d v="2023-08-06T00:00:00"/>
    <x v="27"/>
    <n v="7"/>
    <s v="0"/>
    <s v="New"/>
    <s v="Direct"/>
    <s v="Credit Card"/>
    <s v="8"/>
    <x v="4"/>
    <x v="17"/>
    <n v="17115.540652384199"/>
  </r>
  <r>
    <s v="1155"/>
    <s v="North"/>
    <n v="24178.4605603257"/>
    <n v="10"/>
    <d v="2024-05-28T00:00:00"/>
    <x v="58"/>
    <n v="79"/>
    <s v="0"/>
    <s v="New"/>
    <s v="Online"/>
    <s v="Bank Transfer"/>
    <s v="1"/>
    <x v="5"/>
    <x v="1"/>
    <n v="21760.614504293128"/>
  </r>
  <r>
    <s v="1156"/>
    <s v="South"/>
    <n v="14351.4657267119"/>
    <n v="10"/>
    <d v="2024-06-27T00:00:00"/>
    <x v="72"/>
    <n v="87"/>
    <s v="1"/>
    <s v="VIP"/>
    <s v="In-Store"/>
    <s v="Cash"/>
    <s v="3"/>
    <x v="4"/>
    <x v="5"/>
    <n v="12916.319154040712"/>
  </r>
  <r>
    <s v="1157"/>
    <s v="East"/>
    <n v="22649.020889576401"/>
    <n v="15"/>
    <d v="2023-07-13T00:00:00"/>
    <x v="61"/>
    <n v="14"/>
    <s v="0"/>
    <s v="VIP"/>
    <s v="Online"/>
    <s v="Cash"/>
    <s v="2"/>
    <x v="3"/>
    <x v="20"/>
    <n v="19251.667756139941"/>
  </r>
  <r>
    <s v="1158"/>
    <s v="South"/>
    <n v="0"/>
    <n v="5"/>
    <d v="2024-05-02T00:00:00"/>
    <x v="7"/>
    <n v="87"/>
    <s v="0"/>
    <s v="New"/>
    <s v="Direct"/>
    <s v="Credit Card"/>
    <s v="5"/>
    <x v="4"/>
    <x v="1"/>
    <n v="0"/>
  </r>
  <r>
    <s v="1159"/>
    <s v="North"/>
    <n v="7641.7774993635503"/>
    <n v="10"/>
    <d v="2023-08-27T00:00:00"/>
    <x v="77"/>
    <n v="19"/>
    <s v="1"/>
    <s v="VIP"/>
    <s v="Direct"/>
    <s v="Bank Transfer"/>
    <s v="4"/>
    <x v="2"/>
    <x v="17"/>
    <n v="6877.599749427196"/>
  </r>
  <r>
    <s v="1160"/>
    <s v="West"/>
    <n v="16015.5237226476"/>
    <n v="0"/>
    <d v="2024-08-29T00:00:00"/>
    <x v="1"/>
    <n v="54"/>
    <s v="0"/>
    <s v="Returning"/>
    <s v="In-Store"/>
    <s v="Bank Transfer"/>
    <s v="7"/>
    <x v="1"/>
    <x v="2"/>
    <n v="16015.5237226476"/>
  </r>
  <r>
    <s v="1161"/>
    <s v="East"/>
    <n v="22885.3606359027"/>
    <n v="5"/>
    <d v="2024-06-04T00:00:00"/>
    <x v="80"/>
    <n v="93"/>
    <s v="0"/>
    <s v="Returning"/>
    <s v="Direct"/>
    <s v="Bank Transfer"/>
    <s v="5"/>
    <x v="3"/>
    <x v="5"/>
    <n v="21741.092604107562"/>
  </r>
  <r>
    <s v="1162"/>
    <s v="North"/>
    <n v="18984.773069784998"/>
    <n v="5"/>
    <d v="2023-03-12T00:00:00"/>
    <x v="41"/>
    <n v="20"/>
    <s v="0"/>
    <s v="Returning"/>
    <s v="Online"/>
    <s v="Bank Transfer"/>
    <s v="8"/>
    <x v="5"/>
    <x v="10"/>
    <n v="18035.534416295748"/>
  </r>
  <r>
    <s v="1163"/>
    <s v="West"/>
    <n v="21855.7293668565"/>
    <n v="10"/>
    <d v="2024-07-14T00:00:00"/>
    <x v="73"/>
    <n v="29"/>
    <s v="0"/>
    <s v="Returning"/>
    <s v="Online"/>
    <s v="Credit Card"/>
    <s v="4"/>
    <x v="2"/>
    <x v="9"/>
    <n v="19670.156430170849"/>
  </r>
  <r>
    <s v="1164"/>
    <s v="West"/>
    <n v="16980.074066420799"/>
    <n v="10"/>
    <d v="2023-01-04T00:00:00"/>
    <x v="20"/>
    <n v="24"/>
    <s v="0"/>
    <s v="Returning"/>
    <s v="Online"/>
    <s v="Cash"/>
    <s v="6"/>
    <x v="2"/>
    <x v="4"/>
    <n v="15282.06665977872"/>
  </r>
  <r>
    <s v="1165"/>
    <s v="South"/>
    <n v="20432.948937364501"/>
    <n v="5"/>
    <d v="2024-08-16T00:00:00"/>
    <x v="81"/>
    <n v="82"/>
    <s v="1"/>
    <s v="VIP"/>
    <s v="Direct"/>
    <s v="Credit Card"/>
    <s v="4"/>
    <x v="1"/>
    <x v="2"/>
    <n v="19411.301490496277"/>
  </r>
  <r>
    <s v="1166"/>
    <s v="North"/>
    <n v="19221.613823039599"/>
    <n v="5"/>
    <d v="2024-03-24T00:00:00"/>
    <x v="9"/>
    <n v="63"/>
    <s v="0"/>
    <s v="VIP"/>
    <s v="Online"/>
    <s v="Bank Transfer"/>
    <s v="2"/>
    <x v="6"/>
    <x v="12"/>
    <n v="18260.53313188762"/>
  </r>
  <r>
    <s v="1167"/>
    <s v="West"/>
    <n v="25838.910308299"/>
    <n v="15"/>
    <d v="2024-06-23T00:00:00"/>
    <x v="55"/>
    <n v="74"/>
    <s v="0"/>
    <s v="Returning"/>
    <s v="Online"/>
    <s v="Bank Transfer"/>
    <s v="1"/>
    <x v="3"/>
    <x v="5"/>
    <n v="21963.073762054151"/>
  </r>
  <r>
    <s v="1168"/>
    <s v="East"/>
    <n v="21272.104216505999"/>
    <n v="0"/>
    <d v="2024-08-25T00:00:00"/>
    <x v="26"/>
    <n v="57"/>
    <s v="0"/>
    <s v="VIP"/>
    <s v="Online"/>
    <s v="Cash"/>
    <s v="1"/>
    <x v="1"/>
    <x v="2"/>
    <n v="21272.104216505995"/>
  </r>
  <r>
    <s v="1169"/>
    <s v="East"/>
    <n v="21688.013310376002"/>
    <n v="15"/>
    <d v="2023-06-27T00:00:00"/>
    <x v="82"/>
    <n v="8"/>
    <s v="0"/>
    <s v="VIP"/>
    <s v="In-Store"/>
    <s v="Bank Transfer"/>
    <s v="8"/>
    <x v="2"/>
    <x v="16"/>
    <n v="18434.811313819602"/>
  </r>
  <r>
    <s v="1170"/>
    <s v="South"/>
    <n v="17940.615169387602"/>
    <n v="10"/>
    <d v="2023-09-01T00:00:00"/>
    <x v="52"/>
    <n v="90"/>
    <s v="0"/>
    <s v="Returning"/>
    <s v="Direct"/>
    <s v="Credit Card"/>
    <s v="4"/>
    <x v="5"/>
    <x v="19"/>
    <n v="16146.55365244884"/>
  </r>
  <r>
    <s v="1171"/>
    <s v="West"/>
    <n v="17561.968879637501"/>
    <n v="15"/>
    <d v="2024-06-27T00:00:00"/>
    <x v="26"/>
    <n v="62"/>
    <s v="0"/>
    <s v="VIP"/>
    <s v="Direct"/>
    <s v="Credit Card"/>
    <s v="5"/>
    <x v="1"/>
    <x v="5"/>
    <n v="14927.673547691875"/>
  </r>
  <r>
    <s v="1172"/>
    <s v="North"/>
    <n v="17837.209060901801"/>
    <n v="15"/>
    <d v="2023-01-08T00:00:00"/>
    <x v="9"/>
    <n v="29"/>
    <s v="0"/>
    <s v="VIP"/>
    <s v="Direct"/>
    <s v="Cash"/>
    <s v="8"/>
    <x v="6"/>
    <x v="4"/>
    <n v="15161.627701766531"/>
  </r>
  <r>
    <s v="1173"/>
    <s v="East"/>
    <n v="21972.260711891398"/>
    <n v="15"/>
    <d v="2023-07-12T00:00:00"/>
    <x v="0"/>
    <n v="74"/>
    <s v="0"/>
    <s v="VIP"/>
    <s v="In-Store"/>
    <s v="Credit Card"/>
    <s v="7"/>
    <x v="2"/>
    <x v="20"/>
    <n v="18676.421605107687"/>
  </r>
  <r>
    <s v="1174"/>
    <s v="West"/>
    <n v="17895.077595898601"/>
    <n v="15"/>
    <d v="2023-12-21T00:00:00"/>
    <x v="0"/>
    <n v="17"/>
    <s v="1"/>
    <s v="Returning"/>
    <s v="Direct"/>
    <s v="Credit Card"/>
    <s v="8"/>
    <x v="1"/>
    <x v="6"/>
    <n v="15210.815956513812"/>
  </r>
  <r>
    <s v="1175"/>
    <s v="West"/>
    <n v="21448.874284482001"/>
    <n v="0"/>
    <d v="2024-01-29T00:00:00"/>
    <x v="48"/>
    <n v="66"/>
    <s v="0"/>
    <s v="VIP"/>
    <s v="In-Store"/>
    <s v="Credit Card"/>
    <s v="8"/>
    <x v="3"/>
    <x v="18"/>
    <n v="21448.874284482001"/>
  </r>
  <r>
    <s v="1176"/>
    <s v="South"/>
    <n v="30377.003993227099"/>
    <n v="0"/>
    <d v="2023-04-12T00:00:00"/>
    <x v="17"/>
    <n v="6"/>
    <s v="0"/>
    <s v="New"/>
    <s v="In-Store"/>
    <s v="Credit Card"/>
    <s v="6"/>
    <x v="6"/>
    <x v="13"/>
    <n v="30377.003993227099"/>
  </r>
  <r>
    <s v="1177"/>
    <s v="East"/>
    <n v="0"/>
    <n v="5"/>
    <d v="2023-04-08T00:00:00"/>
    <x v="34"/>
    <n v="58"/>
    <s v="0"/>
    <s v="New"/>
    <s v="Direct"/>
    <s v="Bank Transfer"/>
    <s v="10"/>
    <x v="3"/>
    <x v="13"/>
    <n v="0"/>
  </r>
  <r>
    <s v="1178"/>
    <s v="East"/>
    <n v="18369.8823391607"/>
    <n v="10"/>
    <d v="2024-04-25T00:00:00"/>
    <x v="59"/>
    <n v="69"/>
    <s v="0"/>
    <s v="Returning"/>
    <s v="Online"/>
    <s v="Credit Card"/>
    <s v="2"/>
    <x v="3"/>
    <x v="3"/>
    <n v="16532.894105244632"/>
  </r>
  <r>
    <s v="1179"/>
    <s v="North"/>
    <n v="26006.069610819701"/>
    <n v="15"/>
    <d v="2023-04-25T00:00:00"/>
    <x v="60"/>
    <n v="28"/>
    <s v="0"/>
    <s v="New"/>
    <s v="Online"/>
    <s v="Cash"/>
    <s v="6"/>
    <x v="3"/>
    <x v="13"/>
    <n v="22105.159169196748"/>
  </r>
  <r>
    <s v="1180"/>
    <s v="East"/>
    <n v="0"/>
    <n v="5"/>
    <d v="2023-12-02T00:00:00"/>
    <x v="75"/>
    <n v="62"/>
    <s v="0"/>
    <s v="Returning"/>
    <s v="Direct"/>
    <s v="Cash"/>
    <s v="1"/>
    <x v="1"/>
    <x v="6"/>
    <n v="0"/>
  </r>
  <r>
    <s v="1181"/>
    <s v="North"/>
    <n v="9809.3773241107301"/>
    <n v="5"/>
    <d v="2023-04-25T00:00:00"/>
    <x v="50"/>
    <n v="41"/>
    <s v="0"/>
    <s v="New"/>
    <s v="Direct"/>
    <s v="Credit Card"/>
    <s v="1"/>
    <x v="6"/>
    <x v="13"/>
    <n v="9318.9084579051942"/>
  </r>
  <r>
    <s v="1182"/>
    <s v="East"/>
    <n v="14959.5684454129"/>
    <n v="5"/>
    <d v="2023-08-29T00:00:00"/>
    <x v="42"/>
    <n v="69"/>
    <s v="0"/>
    <s v="New"/>
    <s v="In-Store"/>
    <s v="Cash"/>
    <s v="3"/>
    <x v="1"/>
    <x v="17"/>
    <n v="14211.590023142255"/>
  </r>
  <r>
    <s v="1183"/>
    <s v="South"/>
    <n v="10646.040394870701"/>
    <n v="0"/>
    <d v="2024-05-27T00:00:00"/>
    <x v="6"/>
    <n v="82"/>
    <s v="0"/>
    <s v="New"/>
    <s v="Direct"/>
    <s v="Credit Card"/>
    <s v="3"/>
    <x v="1"/>
    <x v="1"/>
    <n v="10646.040394870703"/>
  </r>
  <r>
    <s v="1184"/>
    <s v="East"/>
    <n v="18242.4325797934"/>
    <n v="15"/>
    <d v="2024-05-09T00:00:00"/>
    <x v="16"/>
    <n v="90"/>
    <s v="0"/>
    <s v="Returning"/>
    <s v="In-Store"/>
    <s v="Cash"/>
    <s v="5"/>
    <x v="1"/>
    <x v="1"/>
    <n v="15506.06769282439"/>
  </r>
  <r>
    <s v="1185"/>
    <s v="North"/>
    <n v="20092.091895947699"/>
    <n v="15"/>
    <d v="2023-04-17T00:00:00"/>
    <x v="71"/>
    <n v="84"/>
    <s v="1"/>
    <s v="Returning"/>
    <s v="Direct"/>
    <s v="Cash"/>
    <s v="1"/>
    <x v="2"/>
    <x v="13"/>
    <n v="17078.278111555544"/>
  </r>
  <r>
    <s v="1186"/>
    <s v="North"/>
    <n v="28382.186561376398"/>
    <n v="10"/>
    <d v="2023-05-17T00:00:00"/>
    <x v="45"/>
    <n v="41"/>
    <s v="0"/>
    <s v="VIP"/>
    <s v="Online"/>
    <s v="Credit Card"/>
    <s v="10"/>
    <x v="4"/>
    <x v="14"/>
    <n v="25543.967905238758"/>
  </r>
  <r>
    <s v="1187"/>
    <s v="South"/>
    <n v="0"/>
    <n v="15"/>
    <d v="2023-04-06T00:00:00"/>
    <x v="33"/>
    <n v="49"/>
    <s v="0"/>
    <s v="Returning"/>
    <s v="Online"/>
    <s v="Credit Card"/>
    <s v="6"/>
    <x v="0"/>
    <x v="13"/>
    <n v="0"/>
  </r>
  <r>
    <s v="1188"/>
    <s v="East"/>
    <n v="18904.497355955598"/>
    <n v="15"/>
    <d v="2023-01-10T00:00:00"/>
    <x v="10"/>
    <n v="91"/>
    <s v="0"/>
    <s v="New"/>
    <s v="Direct"/>
    <s v="Bank Transfer"/>
    <s v="7"/>
    <x v="2"/>
    <x v="4"/>
    <n v="16068.822752562259"/>
  </r>
  <r>
    <s v="1189"/>
    <s v="East"/>
    <n v="24147.027905917399"/>
    <n v="5"/>
    <d v="2023-02-27T00:00:00"/>
    <x v="67"/>
    <n v="49"/>
    <s v="0"/>
    <s v="New"/>
    <s v="In-Store"/>
    <s v="Credit Card"/>
    <s v="10"/>
    <x v="6"/>
    <x v="7"/>
    <n v="22939.676510621528"/>
  </r>
  <r>
    <s v="1190"/>
    <s v="South"/>
    <n v="8944.3234549605695"/>
    <n v="10"/>
    <d v="2023-03-17T00:00:00"/>
    <x v="22"/>
    <n v="76"/>
    <s v="0"/>
    <s v="Returning"/>
    <s v="Online"/>
    <s v="Credit Card"/>
    <s v="3"/>
    <x v="0"/>
    <x v="10"/>
    <n v="8049.8911094645127"/>
  </r>
  <r>
    <s v="1191"/>
    <s v="East"/>
    <n v="21178.072790542799"/>
    <n v="15"/>
    <d v="2024-09-01T00:00:00"/>
    <x v="43"/>
    <n v="71"/>
    <s v="0"/>
    <s v="Returning"/>
    <s v="In-Store"/>
    <s v="Bank Transfer"/>
    <s v="4"/>
    <x v="0"/>
    <x v="11"/>
    <n v="18001.361871961377"/>
  </r>
  <r>
    <s v="1192"/>
    <s v="East"/>
    <n v="23854.325969434802"/>
    <n v="0"/>
    <d v="2023-06-10T00:00:00"/>
    <x v="15"/>
    <n v="3"/>
    <s v="0"/>
    <s v="Returning"/>
    <s v="Direct"/>
    <s v="Credit Card"/>
    <s v="10"/>
    <x v="0"/>
    <x v="16"/>
    <n v="23854.325969434798"/>
  </r>
  <r>
    <s v="1193"/>
    <s v="North"/>
    <n v="12607.068771100699"/>
    <n v="15"/>
    <d v="2023-02-07T00:00:00"/>
    <x v="81"/>
    <n v="10"/>
    <s v="0"/>
    <s v="VIP"/>
    <s v="Direct"/>
    <s v="Credit Card"/>
    <s v="10"/>
    <x v="4"/>
    <x v="7"/>
    <n v="10716.008455435594"/>
  </r>
  <r>
    <s v="1194"/>
    <s v="East"/>
    <n v="25718.770216034602"/>
    <n v="5"/>
    <d v="2023-06-19T00:00:00"/>
    <x v="7"/>
    <n v="98"/>
    <s v="0"/>
    <s v="New"/>
    <s v="Online"/>
    <s v="Bank Transfer"/>
    <s v="10"/>
    <x v="1"/>
    <x v="16"/>
    <n v="24432.831705232871"/>
  </r>
  <r>
    <s v="1195"/>
    <s v="East"/>
    <n v="21692.482037472"/>
    <n v="0"/>
    <d v="2023-09-18T00:00:00"/>
    <x v="9"/>
    <n v="89"/>
    <s v="0"/>
    <s v="VIP"/>
    <s v="Direct"/>
    <s v="Credit Card"/>
    <s v="10"/>
    <x v="5"/>
    <x v="19"/>
    <n v="21692.482037472"/>
  </r>
  <r>
    <s v="1196"/>
    <s v="South"/>
    <n v="17923.560430495902"/>
    <n v="5"/>
    <d v="2023-01-20T00:00:00"/>
    <x v="38"/>
    <n v="35"/>
    <s v="0"/>
    <s v="VIP"/>
    <s v="Online"/>
    <s v="Credit Card"/>
    <s v="10"/>
    <x v="6"/>
    <x v="4"/>
    <n v="17027.382408971105"/>
  </r>
  <r>
    <s v="1197"/>
    <s v="South"/>
    <n v="23163.909330531402"/>
    <n v="15"/>
    <d v="2023-01-13T00:00:00"/>
    <x v="0"/>
    <n v="80"/>
    <s v="0"/>
    <s v="New"/>
    <s v="In-Store"/>
    <s v="Bank Transfer"/>
    <s v="3"/>
    <x v="4"/>
    <x v="4"/>
    <n v="19689.32293095169"/>
  </r>
  <r>
    <s v="1198"/>
    <s v="West"/>
    <n v="31353.4642890219"/>
    <n v="0"/>
    <d v="2024-04-11T00:00:00"/>
    <x v="83"/>
    <n v="2"/>
    <s v="0"/>
    <s v="New"/>
    <s v="Online"/>
    <s v="Bank Transfer"/>
    <s v="1"/>
    <x v="4"/>
    <x v="3"/>
    <n v="31353.4642890219"/>
  </r>
  <r>
    <s v="1199"/>
    <s v="nan"/>
    <n v="20909.331275292399"/>
    <n v="10"/>
    <d v="2024-01-14T00:00:00"/>
    <x v="84"/>
    <n v="24"/>
    <s v="0"/>
    <s v="Returning"/>
    <s v="Online"/>
    <s v="Cash"/>
    <s v="8"/>
    <x v="5"/>
    <x v="18"/>
    <n v="18818.398147763161"/>
  </r>
  <r>
    <s v="1200"/>
    <s v="East"/>
    <n v="21241.102931501599"/>
    <n v="10"/>
    <d v="2023-07-03T00:00:00"/>
    <x v="85"/>
    <n v="74"/>
    <s v="0"/>
    <s v="Returning"/>
    <s v="In-Store"/>
    <s v="Credit Card"/>
    <s v="10"/>
    <x v="0"/>
    <x v="20"/>
    <n v="19116.992638351439"/>
  </r>
  <r>
    <s v="1201"/>
    <s v="East"/>
    <n v="17703.195502298699"/>
    <n v="0"/>
    <d v="2023-12-13T00:00:00"/>
    <x v="43"/>
    <n v="38"/>
    <s v="0"/>
    <s v="VIP"/>
    <s v="Online"/>
    <s v="Cash"/>
    <s v="10"/>
    <x v="1"/>
    <x v="6"/>
    <n v="17703.195502298699"/>
  </r>
  <r>
    <s v="1202"/>
    <s v="West"/>
    <n v="15750.778152676001"/>
    <n v="0"/>
    <d v="2023-11-14T00:00:00"/>
    <x v="47"/>
    <n v="22"/>
    <s v="0"/>
    <s v="Returning"/>
    <s v="Online"/>
    <s v="Cash"/>
    <s v="2"/>
    <x v="5"/>
    <x v="15"/>
    <n v="15750.778152676001"/>
  </r>
  <r>
    <s v="1203"/>
    <s v="East"/>
    <n v="24151.679082721199"/>
    <n v="5"/>
    <d v="2024-04-20T00:00:00"/>
    <x v="25"/>
    <n v="26"/>
    <s v="0"/>
    <s v="Returning"/>
    <s v="Direct"/>
    <s v="Bank Transfer"/>
    <s v="1"/>
    <x v="5"/>
    <x v="3"/>
    <n v="22944.095128585137"/>
  </r>
  <r>
    <s v="1204"/>
    <s v="North"/>
    <n v="15719.5808704556"/>
    <n v="0"/>
    <d v="2023-10-30T00:00:00"/>
    <x v="31"/>
    <n v="43"/>
    <s v="0"/>
    <s v="New"/>
    <s v="In-Store"/>
    <s v="Credit Card"/>
    <s v="8"/>
    <x v="4"/>
    <x v="8"/>
    <n v="15719.580870455602"/>
  </r>
  <r>
    <s v="1205"/>
    <s v="West"/>
    <n v="20357.831186096901"/>
    <n v="5"/>
    <d v="2023-09-16T00:00:00"/>
    <x v="78"/>
    <n v="55"/>
    <s v="1"/>
    <s v="New"/>
    <s v="Online"/>
    <s v="Credit Card"/>
    <s v="7"/>
    <x v="6"/>
    <x v="19"/>
    <n v="19339.939626792053"/>
  </r>
  <r>
    <s v="1206"/>
    <s v="North"/>
    <n v="17611.712766174402"/>
    <n v="15"/>
    <d v="2023-12-16T00:00:00"/>
    <x v="61"/>
    <n v="39"/>
    <s v="0"/>
    <s v="Returning"/>
    <s v="In-Store"/>
    <s v="Bank Transfer"/>
    <s v="7"/>
    <x v="3"/>
    <x v="6"/>
    <n v="14969.955851248242"/>
  </r>
  <r>
    <s v="1207"/>
    <s v="West"/>
    <n v="22394.8991287319"/>
    <n v="5"/>
    <d v="2024-09-05T00:00:00"/>
    <x v="36"/>
    <n v="91"/>
    <s v="0"/>
    <s v="New"/>
    <s v="In-Store"/>
    <s v="Cash"/>
    <s v="4"/>
    <x v="1"/>
    <x v="11"/>
    <n v="21275.154172295304"/>
  </r>
  <r>
    <s v="1208"/>
    <s v="West"/>
    <n v="21668.3105264347"/>
    <n v="0"/>
    <d v="2023-03-25T00:00:00"/>
    <x v="84"/>
    <n v="29"/>
    <s v="0"/>
    <s v="Returning"/>
    <s v="Online"/>
    <s v="Bank Transfer"/>
    <s v="9"/>
    <x v="5"/>
    <x v="10"/>
    <n v="21668.3105264347"/>
  </r>
  <r>
    <s v="1209"/>
    <s v="South"/>
    <n v="25187.699721289398"/>
    <n v="0"/>
    <d v="2023-07-26T00:00:00"/>
    <x v="86"/>
    <n v="20"/>
    <s v="1"/>
    <s v="New"/>
    <s v="Direct"/>
    <s v="Credit Card"/>
    <s v="6"/>
    <x v="1"/>
    <x v="20"/>
    <n v="25187.699721289398"/>
  </r>
  <r>
    <s v="1210"/>
    <s v="North"/>
    <n v="17449.918005726198"/>
    <n v="15"/>
    <d v="2024-07-01T00:00:00"/>
    <x v="66"/>
    <n v="91"/>
    <s v="0"/>
    <s v="New"/>
    <s v="In-Store"/>
    <s v="Bank Transfer"/>
    <s v="2"/>
    <x v="5"/>
    <x v="9"/>
    <n v="14832.430304867268"/>
  </r>
  <r>
    <s v="1211"/>
    <s v="East"/>
    <n v="18650.625323533099"/>
    <n v="0"/>
    <d v="2023-03-25T00:00:00"/>
    <x v="13"/>
    <n v="41"/>
    <s v="0"/>
    <s v="New"/>
    <s v="Online"/>
    <s v="Credit Card"/>
    <s v="1"/>
    <x v="0"/>
    <x v="10"/>
    <n v="18650.625323533099"/>
  </r>
  <r>
    <s v="1212"/>
    <s v="East"/>
    <n v="15106.1814210884"/>
    <n v="0"/>
    <d v="2023-11-29T00:00:00"/>
    <x v="22"/>
    <n v="54"/>
    <s v="0"/>
    <s v="New"/>
    <s v="In-Store"/>
    <s v="Cash"/>
    <s v="1"/>
    <x v="1"/>
    <x v="15"/>
    <n v="15106.181421088399"/>
  </r>
  <r>
    <s v="1213"/>
    <s v="North"/>
    <n v="17778.533699619398"/>
    <n v="10"/>
    <d v="2023-01-19T00:00:00"/>
    <x v="45"/>
    <n v="20"/>
    <s v="0"/>
    <s v="Returning"/>
    <s v="Direct"/>
    <s v="Credit Card"/>
    <s v="9"/>
    <x v="0"/>
    <x v="4"/>
    <n v="16000.680329657458"/>
  </r>
  <r>
    <s v="1214"/>
    <s v="nan"/>
    <n v="21886.502465224199"/>
    <n v="10"/>
    <d v="2024-02-04T00:00:00"/>
    <x v="30"/>
    <n v="19"/>
    <s v="0"/>
    <s v="VIP"/>
    <s v="Direct"/>
    <s v="Cash"/>
    <s v="4"/>
    <x v="4"/>
    <x v="0"/>
    <n v="19697.852218701781"/>
  </r>
  <r>
    <s v="1215"/>
    <s v="East"/>
    <n v="23784.943083226699"/>
    <n v="15"/>
    <d v="2023-07-11T00:00:00"/>
    <x v="85"/>
    <n v="84"/>
    <s v="0"/>
    <s v="New"/>
    <s v="Direct"/>
    <s v="Cash"/>
    <s v="5"/>
    <x v="0"/>
    <x v="20"/>
    <n v="20217.201620742693"/>
  </r>
  <r>
    <s v="1216"/>
    <s v="North"/>
    <n v="15389.1733791118"/>
    <n v="5"/>
    <d v="2023-01-02T00:00:00"/>
    <x v="87"/>
    <n v="99"/>
    <s v="0"/>
    <s v="Returning"/>
    <s v="Online"/>
    <s v="Credit Card"/>
    <s v="3"/>
    <x v="1"/>
    <x v="4"/>
    <n v="14619.71471015621"/>
  </r>
  <r>
    <s v="1217"/>
    <s v="West"/>
    <n v="24348.029600528302"/>
    <n v="10"/>
    <d v="2023-07-26T00:00:00"/>
    <x v="31"/>
    <n v="66"/>
    <s v="0"/>
    <s v="Returning"/>
    <s v="Online"/>
    <s v="Credit Card"/>
    <s v="4"/>
    <x v="2"/>
    <x v="20"/>
    <n v="21913.22664047547"/>
  </r>
  <r>
    <s v="1218"/>
    <s v="North"/>
    <n v="26778.189294024702"/>
    <n v="5"/>
    <d v="2023-11-21T00:00:00"/>
    <x v="56"/>
    <n v="30"/>
    <s v="0"/>
    <s v="New"/>
    <s v="Direct"/>
    <s v="Cash"/>
    <s v="8"/>
    <x v="1"/>
    <x v="15"/>
    <n v="25439.27982932347"/>
  </r>
  <r>
    <s v="1219"/>
    <s v="West"/>
    <n v="22067.174516118499"/>
    <n v="0"/>
    <d v="2023-05-31T00:00:00"/>
    <x v="47"/>
    <n v="53"/>
    <s v="0"/>
    <s v="VIP"/>
    <s v="Online"/>
    <s v="Bank Transfer"/>
    <s v="4"/>
    <x v="5"/>
    <x v="14"/>
    <n v="22067.174516118499"/>
  </r>
  <r>
    <s v="1220"/>
    <s v="East"/>
    <n v="29383.979062790298"/>
    <n v="10"/>
    <d v="2023-12-08T00:00:00"/>
    <x v="88"/>
    <n v="34"/>
    <s v="0"/>
    <s v="New"/>
    <s v="Direct"/>
    <s v="Credit Card"/>
    <s v="9"/>
    <x v="0"/>
    <x v="6"/>
    <n v="26445.581156511271"/>
  </r>
  <r>
    <s v="1221"/>
    <s v="East"/>
    <n v="16131.054004482099"/>
    <n v="15"/>
    <d v="2023-01-10T00:00:00"/>
    <x v="26"/>
    <n v="22"/>
    <s v="0"/>
    <s v="Returning"/>
    <s v="Online"/>
    <s v="Cash"/>
    <s v="9"/>
    <x v="6"/>
    <x v="4"/>
    <n v="13711.395903809786"/>
  </r>
  <r>
    <s v="1222"/>
    <s v="East"/>
    <n v="13776.726483442901"/>
    <n v="15"/>
    <d v="2023-12-07T00:00:00"/>
    <x v="88"/>
    <n v="67"/>
    <s v="0"/>
    <s v="VIP"/>
    <s v="Direct"/>
    <s v="Cash"/>
    <s v="6"/>
    <x v="2"/>
    <x v="6"/>
    <n v="11710.217510926464"/>
  </r>
  <r>
    <s v="1223"/>
    <s v="South"/>
    <n v="11106.3987554786"/>
    <n v="15"/>
    <d v="2024-09-28T00:00:00"/>
    <x v="6"/>
    <n v="6"/>
    <s v="1"/>
    <s v="Returning"/>
    <s v="In-Store"/>
    <s v="Bank Transfer"/>
    <s v="2"/>
    <x v="4"/>
    <x v="11"/>
    <n v="9440.4389421568103"/>
  </r>
  <r>
    <s v="1224"/>
    <s v="West"/>
    <n v="27480.221557445901"/>
    <n v="10"/>
    <d v="2024-01-08T00:00:00"/>
    <x v="46"/>
    <n v="79"/>
    <s v="0"/>
    <s v="New"/>
    <s v="Direct"/>
    <s v="Credit Card"/>
    <s v="10"/>
    <x v="3"/>
    <x v="18"/>
    <n v="24732.199401701313"/>
  </r>
  <r>
    <s v="1225"/>
    <s v="South"/>
    <n v="23271.828281770198"/>
    <n v="5"/>
    <d v="2024-06-04T00:00:00"/>
    <x v="87"/>
    <n v="27"/>
    <s v="0"/>
    <s v="VIP"/>
    <s v="Direct"/>
    <s v="Cash"/>
    <s v="7"/>
    <x v="5"/>
    <x v="5"/>
    <n v="22108.236867681691"/>
  </r>
  <r>
    <s v="1226"/>
    <s v="South"/>
    <n v="19722.076645447702"/>
    <n v="0"/>
    <d v="2023-10-12T00:00:00"/>
    <x v="52"/>
    <n v="10"/>
    <s v="0"/>
    <s v="Returning"/>
    <s v="Online"/>
    <s v="Bank Transfer"/>
    <s v="9"/>
    <x v="5"/>
    <x v="8"/>
    <n v="19722.076645447702"/>
  </r>
  <r>
    <s v="1227"/>
    <s v="North"/>
    <n v="21399.8431315991"/>
    <n v="5"/>
    <d v="2024-09-25T00:00:00"/>
    <x v="50"/>
    <n v="73"/>
    <s v="0"/>
    <s v="Returning"/>
    <s v="Online"/>
    <s v="Cash"/>
    <s v="6"/>
    <x v="6"/>
    <x v="11"/>
    <n v="20329.850975019144"/>
  </r>
  <r>
    <s v="1228"/>
    <s v="South"/>
    <n v="14372.5547635081"/>
    <n v="5"/>
    <d v="2023-11-17T00:00:00"/>
    <x v="63"/>
    <n v="97"/>
    <s v="0"/>
    <s v="Returning"/>
    <s v="Online"/>
    <s v="Credit Card"/>
    <s v="3"/>
    <x v="3"/>
    <x v="15"/>
    <n v="13653.927025332696"/>
  </r>
  <r>
    <s v="1229"/>
    <s v="North"/>
    <n v="32228.759898084099"/>
    <n v="0"/>
    <d v="2024-09-01T00:00:00"/>
    <x v="59"/>
    <n v="96"/>
    <s v="0"/>
    <s v="New"/>
    <s v="Online"/>
    <s v="Bank Transfer"/>
    <s v="7"/>
    <x v="3"/>
    <x v="11"/>
    <n v="32228.759898084099"/>
  </r>
  <r>
    <s v="1230"/>
    <s v="North"/>
    <n v="20646.1059098761"/>
    <n v="0"/>
    <d v="2023-05-27T00:00:00"/>
    <x v="35"/>
    <n v="48"/>
    <s v="0"/>
    <s v="VIP"/>
    <s v="Online"/>
    <s v="Cash"/>
    <s v="5"/>
    <x v="4"/>
    <x v="14"/>
    <n v="20646.1059098761"/>
  </r>
  <r>
    <s v="1231"/>
    <s v="South"/>
    <n v="20546.9739730244"/>
    <n v="10"/>
    <d v="2023-03-09T00:00:00"/>
    <x v="31"/>
    <n v="70"/>
    <s v="0"/>
    <s v="New"/>
    <s v="Online"/>
    <s v="Bank Transfer"/>
    <s v="1"/>
    <x v="4"/>
    <x v="10"/>
    <n v="18492.27657572196"/>
  </r>
  <r>
    <s v="1232"/>
    <s v="West"/>
    <n v="23628.8331194934"/>
    <n v="10"/>
    <d v="2024-04-04T00:00:00"/>
    <x v="48"/>
    <n v="59"/>
    <s v="0"/>
    <s v="New"/>
    <s v="In-Store"/>
    <s v="Credit Card"/>
    <s v="3"/>
    <x v="2"/>
    <x v="3"/>
    <n v="21265.949807544061"/>
  </r>
  <r>
    <s v="1233"/>
    <s v="West"/>
    <n v="22405.046158683501"/>
    <n v="10"/>
    <d v="2023-09-05T00:00:00"/>
    <x v="28"/>
    <n v="59"/>
    <s v="0"/>
    <s v="New"/>
    <s v="Direct"/>
    <s v="Bank Transfer"/>
    <s v="5"/>
    <x v="5"/>
    <x v="19"/>
    <n v="20164.54154281515"/>
  </r>
  <r>
    <s v="1234"/>
    <s v="West"/>
    <n v="21119.4201213956"/>
    <n v="10"/>
    <d v="2024-04-04T00:00:00"/>
    <x v="89"/>
    <n v="2"/>
    <s v="0"/>
    <s v="VIP"/>
    <s v="Direct"/>
    <s v="Credit Card"/>
    <s v="7"/>
    <x v="0"/>
    <x v="3"/>
    <n v="19007.478109256041"/>
  </r>
  <r>
    <s v="1235"/>
    <s v="West"/>
    <n v="16047.627722773401"/>
    <n v="10"/>
    <d v="2023-06-17T00:00:00"/>
    <x v="90"/>
    <n v="29"/>
    <s v="1"/>
    <s v="New"/>
    <s v="Direct"/>
    <s v="Cash"/>
    <s v="3"/>
    <x v="4"/>
    <x v="16"/>
    <n v="14442.864950496061"/>
  </r>
  <r>
    <s v="1236"/>
    <s v="West"/>
    <n v="22357.341785679899"/>
    <n v="0"/>
    <d v="2023-12-25T00:00:00"/>
    <x v="52"/>
    <n v="68"/>
    <s v="0"/>
    <s v="New"/>
    <s v="In-Store"/>
    <s v="Credit Card"/>
    <s v="6"/>
    <x v="6"/>
    <x v="6"/>
    <n v="22357.341785679899"/>
  </r>
  <r>
    <s v="1237"/>
    <s v="South"/>
    <n v="29410.1224823751"/>
    <n v="5"/>
    <d v="2023-02-10T00:00:00"/>
    <x v="43"/>
    <n v="65"/>
    <s v="1"/>
    <s v="New"/>
    <s v="Direct"/>
    <s v="Cash"/>
    <s v="5"/>
    <x v="6"/>
    <x v="7"/>
    <n v="27939.616358256346"/>
  </r>
  <r>
    <s v="1238"/>
    <s v="South"/>
    <n v="26727.100230774799"/>
    <n v="10"/>
    <d v="2023-06-18T00:00:00"/>
    <x v="26"/>
    <n v="83"/>
    <s v="0"/>
    <s v="New"/>
    <s v="In-Store"/>
    <s v="Cash"/>
    <s v="1"/>
    <x v="6"/>
    <x v="16"/>
    <n v="24054.390207697321"/>
  </r>
  <r>
    <s v="1239"/>
    <s v="East"/>
    <n v="27965.933133196901"/>
    <n v="10"/>
    <d v="2023-08-04T00:00:00"/>
    <x v="10"/>
    <n v="26"/>
    <s v="1"/>
    <s v="Returning"/>
    <s v="In-Store"/>
    <s v="Credit Card"/>
    <s v="10"/>
    <x v="1"/>
    <x v="17"/>
    <n v="25169.339819877212"/>
  </r>
  <r>
    <s v="1240"/>
    <s v="West"/>
    <n v="17443.921617844"/>
    <n v="5"/>
    <d v="2023-07-11T00:00:00"/>
    <x v="11"/>
    <n v="89"/>
    <s v="0"/>
    <s v="New"/>
    <s v="In-Store"/>
    <s v="Cash"/>
    <s v="6"/>
    <x v="4"/>
    <x v="20"/>
    <n v="16571.725536951799"/>
  </r>
  <r>
    <s v="1241"/>
    <s v="South"/>
    <n v="15051.975898707"/>
    <n v="10"/>
    <d v="2023-08-29T00:00:00"/>
    <x v="81"/>
    <n v="10"/>
    <s v="0"/>
    <s v="Returning"/>
    <s v="Direct"/>
    <s v="Bank Transfer"/>
    <s v="8"/>
    <x v="4"/>
    <x v="17"/>
    <n v="13546.778308836301"/>
  </r>
  <r>
    <s v="1242"/>
    <s v="East"/>
    <n v="19371.065399501698"/>
    <n v="5"/>
    <d v="2023-04-22T00:00:00"/>
    <x v="91"/>
    <n v="53"/>
    <s v="0"/>
    <s v="New"/>
    <s v="In-Store"/>
    <s v="Cash"/>
    <s v="1"/>
    <x v="6"/>
    <x v="13"/>
    <n v="18402.512129526614"/>
  </r>
  <r>
    <s v="1243"/>
    <s v="West"/>
    <n v="20278.624561443401"/>
    <n v="5"/>
    <d v="2024-09-06T00:00:00"/>
    <x v="74"/>
    <n v="79"/>
    <s v="0"/>
    <s v="VIP"/>
    <s v="Direct"/>
    <s v="Credit Card"/>
    <s v="2"/>
    <x v="4"/>
    <x v="11"/>
    <n v="19264.69333337123"/>
  </r>
  <r>
    <s v="1244"/>
    <s v="North"/>
    <n v="25470.957592354702"/>
    <n v="0"/>
    <d v="2023-04-07T00:00:00"/>
    <x v="46"/>
    <n v="59"/>
    <s v="0"/>
    <s v="Returning"/>
    <s v="Direct"/>
    <s v="Bank Transfer"/>
    <s v="4"/>
    <x v="1"/>
    <x v="13"/>
    <n v="25470.957592354702"/>
  </r>
  <r>
    <s v="1245"/>
    <s v="East"/>
    <n v="11537.6768514259"/>
    <n v="15"/>
    <d v="2023-10-31T00:00:00"/>
    <x v="30"/>
    <n v="22"/>
    <s v="0"/>
    <s v="Returning"/>
    <s v="Online"/>
    <s v="Bank Transfer"/>
    <s v="2"/>
    <x v="0"/>
    <x v="8"/>
    <n v="9807.025323712016"/>
  </r>
  <r>
    <s v="1246"/>
    <s v="South"/>
    <n v="0"/>
    <n v="0"/>
    <d v="2023-06-19T00:00:00"/>
    <x v="64"/>
    <n v="51"/>
    <s v="0"/>
    <s v="Returning"/>
    <s v="Online"/>
    <s v="Cash"/>
    <s v="9"/>
    <x v="0"/>
    <x v="16"/>
    <n v="0"/>
  </r>
  <r>
    <s v="1247"/>
    <s v="North"/>
    <n v="19209.960507104999"/>
    <n v="15"/>
    <d v="2023-07-29T00:00:00"/>
    <x v="88"/>
    <n v="48"/>
    <s v="0"/>
    <s v="Returning"/>
    <s v="In-Store"/>
    <s v="Cash"/>
    <s v="10"/>
    <x v="2"/>
    <x v="20"/>
    <n v="16328.466431039247"/>
  </r>
  <r>
    <s v="1248"/>
    <s v="North"/>
    <n v="17865.594650262901"/>
    <n v="15"/>
    <d v="2024-09-12T00:00:00"/>
    <x v="76"/>
    <n v="21"/>
    <s v="0"/>
    <s v="VIP"/>
    <s v="In-Store"/>
    <s v="Credit Card"/>
    <s v="8"/>
    <x v="5"/>
    <x v="11"/>
    <n v="15185.755452723466"/>
  </r>
  <r>
    <s v="1249"/>
    <s v="North"/>
    <n v="14939.4781236991"/>
    <n v="15"/>
    <d v="2024-06-04T00:00:00"/>
    <x v="77"/>
    <n v="22"/>
    <s v="0"/>
    <s v="New"/>
    <s v="Direct"/>
    <s v="Bank Transfer"/>
    <s v="8"/>
    <x v="0"/>
    <x v="5"/>
    <n v="12698.556405144236"/>
  </r>
  <r>
    <s v="1250"/>
    <s v="East"/>
    <n v="11725.7166406711"/>
    <n v="10"/>
    <d v="2023-04-14T00:00:00"/>
    <x v="30"/>
    <n v="98"/>
    <s v="0"/>
    <s v="Returning"/>
    <s v="In-Store"/>
    <s v="Credit Card"/>
    <s v="4"/>
    <x v="2"/>
    <x v="13"/>
    <n v="10553.14497660399"/>
  </r>
  <r>
    <s v="1251"/>
    <s v="South"/>
    <n v="24115.852919809498"/>
    <n v="0"/>
    <d v="2023-10-07T00:00:00"/>
    <x v="21"/>
    <n v="30"/>
    <s v="0"/>
    <s v="VIP"/>
    <s v="In-Store"/>
    <s v="Cash"/>
    <s v="5"/>
    <x v="3"/>
    <x v="8"/>
    <n v="24115.852919809498"/>
  </r>
  <r>
    <s v="1252"/>
    <s v="North"/>
    <n v="20366.589835941999"/>
    <n v="15"/>
    <d v="2023-08-07T00:00:00"/>
    <x v="13"/>
    <n v="25"/>
    <s v="0"/>
    <s v="Returning"/>
    <s v="Direct"/>
    <s v="Bank Transfer"/>
    <s v="4"/>
    <x v="5"/>
    <x v="17"/>
    <n v="17311.6013605507"/>
  </r>
  <r>
    <s v="1253"/>
    <s v="West"/>
    <n v="13550.1955012947"/>
    <n v="5"/>
    <d v="2023-08-22T00:00:00"/>
    <x v="29"/>
    <n v="28"/>
    <s v="0"/>
    <s v="New"/>
    <s v="In-Store"/>
    <s v="Credit Card"/>
    <s v="9"/>
    <x v="0"/>
    <x v="17"/>
    <n v="12872.685726229965"/>
  </r>
  <r>
    <s v="1254"/>
    <s v="North"/>
    <n v="13524.6061396819"/>
    <n v="10"/>
    <d v="2023-10-24T00:00:00"/>
    <x v="79"/>
    <n v="65"/>
    <s v="0"/>
    <s v="Returning"/>
    <s v="In-Store"/>
    <s v="Credit Card"/>
    <s v="2"/>
    <x v="1"/>
    <x v="8"/>
    <n v="12172.14552571371"/>
  </r>
  <r>
    <s v="1255"/>
    <s v="North"/>
    <n v="18321.076503549299"/>
    <n v="0"/>
    <d v="2024-04-23T00:00:00"/>
    <x v="33"/>
    <n v="45"/>
    <s v="0"/>
    <s v="VIP"/>
    <s v="Direct"/>
    <s v="Credit Card"/>
    <s v="8"/>
    <x v="3"/>
    <x v="3"/>
    <n v="18321.076503549299"/>
  </r>
  <r>
    <s v="1256"/>
    <s v="East"/>
    <n v="28345.107626446901"/>
    <n v="15"/>
    <d v="2023-05-07T00:00:00"/>
    <x v="52"/>
    <n v="68"/>
    <s v="0"/>
    <s v="New"/>
    <s v="Direct"/>
    <s v="Credit Card"/>
    <s v="2"/>
    <x v="2"/>
    <x v="14"/>
    <n v="24093.341482479867"/>
  </r>
  <r>
    <s v="1257"/>
    <s v="East"/>
    <n v="18702.043243181899"/>
    <n v="5"/>
    <d v="2023-11-15T00:00:00"/>
    <x v="37"/>
    <n v="7"/>
    <s v="0"/>
    <s v="VIP"/>
    <s v="Online"/>
    <s v="Credit Card"/>
    <s v="1"/>
    <x v="0"/>
    <x v="15"/>
    <n v="17766.941081022804"/>
  </r>
  <r>
    <s v="1258"/>
    <s v="South"/>
    <n v="12484.285234409401"/>
    <n v="0"/>
    <d v="2023-01-10T00:00:00"/>
    <x v="42"/>
    <n v="49"/>
    <s v="0"/>
    <s v="New"/>
    <s v="Direct"/>
    <s v="Bank Transfer"/>
    <s v="10"/>
    <x v="0"/>
    <x v="4"/>
    <n v="12484.285234409401"/>
  </r>
  <r>
    <s v="1259"/>
    <s v="West"/>
    <n v="18771.284679570199"/>
    <n v="0"/>
    <d v="2024-06-07T00:00:00"/>
    <x v="58"/>
    <n v="9"/>
    <s v="0"/>
    <s v="New"/>
    <s v="Online"/>
    <s v="Credit Card"/>
    <s v="3"/>
    <x v="4"/>
    <x v="5"/>
    <n v="18771.284679570199"/>
  </r>
  <r>
    <s v="1260"/>
    <s v="East"/>
    <n v="18636.382151261601"/>
    <n v="10"/>
    <d v="2023-07-08T00:00:00"/>
    <x v="73"/>
    <n v="36"/>
    <s v="0"/>
    <s v="New"/>
    <s v="In-Store"/>
    <s v="Bank Transfer"/>
    <s v="9"/>
    <x v="3"/>
    <x v="20"/>
    <n v="16772.743936135441"/>
  </r>
  <r>
    <s v="1261"/>
    <s v="nan"/>
    <n v="6515.5667852921397"/>
    <n v="0"/>
    <d v="2024-07-07T00:00:00"/>
    <x v="3"/>
    <n v="83"/>
    <s v="0"/>
    <s v="Returning"/>
    <s v="Direct"/>
    <s v="Credit Card"/>
    <s v="3"/>
    <x v="0"/>
    <x v="9"/>
    <n v="6515.5667852921397"/>
  </r>
  <r>
    <s v="1262"/>
    <s v="South"/>
    <n v="19728.5256674109"/>
    <n v="10"/>
    <d v="2023-11-22T00:00:00"/>
    <x v="11"/>
    <n v="1"/>
    <s v="0"/>
    <s v="VIP"/>
    <s v="Direct"/>
    <s v="Cash"/>
    <s v="9"/>
    <x v="6"/>
    <x v="15"/>
    <n v="17755.67310066981"/>
  </r>
  <r>
    <s v="1263"/>
    <s v="North"/>
    <n v="18845.327348956602"/>
    <n v="15"/>
    <d v="2024-05-17T00:00:00"/>
    <x v="76"/>
    <n v="10"/>
    <s v="0"/>
    <s v="VIP"/>
    <s v="Direct"/>
    <s v="Cash"/>
    <s v="7"/>
    <x v="1"/>
    <x v="1"/>
    <n v="16018.528246613112"/>
  </r>
  <r>
    <s v="1264"/>
    <s v="North"/>
    <n v="23481.031824066999"/>
    <n v="10"/>
    <d v="2024-09-19T00:00:00"/>
    <x v="33"/>
    <n v="36"/>
    <s v="0"/>
    <s v="VIP"/>
    <s v="In-Store"/>
    <s v="Credit Card"/>
    <s v="10"/>
    <x v="4"/>
    <x v="11"/>
    <n v="21132.928641660299"/>
  </r>
  <r>
    <s v="1265"/>
    <s v="East"/>
    <n v="29244.7804747267"/>
    <n v="5"/>
    <d v="2023-06-01T00:00:00"/>
    <x v="80"/>
    <n v="73"/>
    <s v="0"/>
    <s v="New"/>
    <s v="Online"/>
    <s v="Cash"/>
    <s v="1"/>
    <x v="4"/>
    <x v="16"/>
    <n v="27782.541450990364"/>
  </r>
  <r>
    <s v="1266"/>
    <s v="South"/>
    <n v="25632.825147738698"/>
    <n v="10"/>
    <d v="2024-01-06T00:00:00"/>
    <x v="30"/>
    <n v="46"/>
    <s v="0"/>
    <s v="Returning"/>
    <s v="In-Store"/>
    <s v="Bank Transfer"/>
    <s v="10"/>
    <x v="0"/>
    <x v="18"/>
    <n v="23069.542632964833"/>
  </r>
  <r>
    <s v="1267"/>
    <s v="West"/>
    <n v="18655.556547225799"/>
    <n v="5"/>
    <d v="2023-07-11T00:00:00"/>
    <x v="28"/>
    <n v="32"/>
    <s v="0"/>
    <s v="New"/>
    <s v="In-Store"/>
    <s v="Credit Card"/>
    <s v="5"/>
    <x v="1"/>
    <x v="20"/>
    <n v="17722.778719864509"/>
  </r>
  <r>
    <s v="1268"/>
    <s v="West"/>
    <n v="14467.370456291599"/>
    <n v="10"/>
    <d v="2023-01-04T00:00:00"/>
    <x v="3"/>
    <n v="32"/>
    <s v="0"/>
    <s v="VIP"/>
    <s v="Direct"/>
    <s v="Bank Transfer"/>
    <s v="9"/>
    <x v="4"/>
    <x v="4"/>
    <n v="13020.633410662438"/>
  </r>
  <r>
    <s v="1269"/>
    <s v="East"/>
    <n v="32866.799016249301"/>
    <n v="0"/>
    <d v="2023-05-20T00:00:00"/>
    <x v="49"/>
    <n v="6"/>
    <s v="0"/>
    <s v="Returning"/>
    <s v="Online"/>
    <s v="Credit Card"/>
    <s v="3"/>
    <x v="5"/>
    <x v="14"/>
    <n v="32866.799016249301"/>
  </r>
  <r>
    <s v="1270"/>
    <s v="East"/>
    <n v="20296.092170072399"/>
    <n v="15"/>
    <d v="2024-05-03T00:00:00"/>
    <x v="91"/>
    <n v="48"/>
    <s v="1"/>
    <s v="Returning"/>
    <s v="In-Store"/>
    <s v="Cash"/>
    <s v="9"/>
    <x v="3"/>
    <x v="1"/>
    <n v="17251.67834456154"/>
  </r>
  <r>
    <s v="1271"/>
    <s v="South"/>
    <n v="20069.646459564701"/>
    <n v="5"/>
    <d v="2023-10-16T00:00:00"/>
    <x v="73"/>
    <n v="38"/>
    <s v="0"/>
    <s v="Returning"/>
    <s v="Direct"/>
    <s v="Bank Transfer"/>
    <s v="5"/>
    <x v="5"/>
    <x v="8"/>
    <n v="19066.164136586467"/>
  </r>
  <r>
    <s v="1272"/>
    <s v="West"/>
    <n v="19879.374564449899"/>
    <n v="10"/>
    <d v="2023-10-03T00:00:00"/>
    <x v="34"/>
    <n v="17"/>
    <s v="1"/>
    <s v="VIP"/>
    <s v="In-Store"/>
    <s v="Cash"/>
    <s v="9"/>
    <x v="2"/>
    <x v="8"/>
    <n v="17891.43710800491"/>
  </r>
  <r>
    <s v="1273"/>
    <s v="West"/>
    <n v="20990.4238038392"/>
    <n v="10"/>
    <d v="2024-05-29T00:00:00"/>
    <x v="26"/>
    <n v="74"/>
    <s v="0"/>
    <s v="Returning"/>
    <s v="In-Store"/>
    <s v="Cash"/>
    <s v="10"/>
    <x v="5"/>
    <x v="1"/>
    <n v="18891.381423455277"/>
  </r>
  <r>
    <s v="1274"/>
    <s v="West"/>
    <n v="19278.1979403802"/>
    <n v="10"/>
    <d v="2024-07-08T00:00:00"/>
    <x v="21"/>
    <n v="27"/>
    <s v="0"/>
    <s v="Returning"/>
    <s v="Direct"/>
    <s v="Credit Card"/>
    <s v="6"/>
    <x v="1"/>
    <x v="9"/>
    <n v="17350.37814634218"/>
  </r>
  <r>
    <s v="1275"/>
    <s v="North"/>
    <n v="17131.689965598802"/>
    <n v="0"/>
    <d v="2023-09-03T00:00:00"/>
    <x v="15"/>
    <n v="54"/>
    <s v="0"/>
    <s v="New"/>
    <s v="Direct"/>
    <s v="Bank Transfer"/>
    <s v="9"/>
    <x v="6"/>
    <x v="19"/>
    <n v="17131.689965598802"/>
  </r>
  <r>
    <s v="1276"/>
    <s v="West"/>
    <n v="17265.705293798001"/>
    <n v="0"/>
    <d v="2024-01-30T00:00:00"/>
    <x v="55"/>
    <n v="50"/>
    <s v="0"/>
    <s v="New"/>
    <s v="Online"/>
    <s v="Cash"/>
    <s v="7"/>
    <x v="4"/>
    <x v="18"/>
    <n v="17265.705293798001"/>
  </r>
  <r>
    <s v="1277"/>
    <s v="North"/>
    <n v="19836.233648919999"/>
    <n v="5"/>
    <d v="2023-07-07T00:00:00"/>
    <x v="92"/>
    <n v="35"/>
    <s v="0"/>
    <s v="Returning"/>
    <s v="In-Store"/>
    <s v="Credit Card"/>
    <s v="7"/>
    <x v="1"/>
    <x v="20"/>
    <n v="18844.421966473998"/>
  </r>
  <r>
    <s v="1278"/>
    <s v="South"/>
    <n v="17282.876144331101"/>
    <n v="5"/>
    <d v="2023-03-16T00:00:00"/>
    <x v="28"/>
    <n v="85"/>
    <s v="0"/>
    <s v="Returning"/>
    <s v="Direct"/>
    <s v="Credit Card"/>
    <s v="8"/>
    <x v="4"/>
    <x v="10"/>
    <n v="16418.732337114547"/>
  </r>
  <r>
    <s v="1279"/>
    <s v="North"/>
    <n v="16435.771086614099"/>
    <n v="0"/>
    <d v="2023-09-16T00:00:00"/>
    <x v="54"/>
    <n v="25"/>
    <s v="0"/>
    <s v="New"/>
    <s v="Direct"/>
    <s v="Credit Card"/>
    <s v="7"/>
    <x v="6"/>
    <x v="19"/>
    <n v="16435.771086614099"/>
  </r>
  <r>
    <s v="1280"/>
    <s v="South"/>
    <n v="20532.151138459401"/>
    <n v="5"/>
    <d v="2024-03-09T00:00:00"/>
    <x v="34"/>
    <n v="28"/>
    <s v="1"/>
    <s v="New"/>
    <s v="Online"/>
    <s v="Cash"/>
    <s v="9"/>
    <x v="4"/>
    <x v="12"/>
    <n v="19505.543581536433"/>
  </r>
  <r>
    <s v="1281"/>
    <s v="West"/>
    <n v="18725.1139128957"/>
    <n v="15"/>
    <d v="2024-09-28T00:00:00"/>
    <x v="22"/>
    <n v="15"/>
    <s v="0"/>
    <s v="New"/>
    <s v="Online"/>
    <s v="Credit Card"/>
    <s v="9"/>
    <x v="5"/>
    <x v="11"/>
    <n v="15916.346825961346"/>
  </r>
  <r>
    <s v="1282"/>
    <s v="West"/>
    <n v="27519.964942913401"/>
    <n v="15"/>
    <d v="2024-05-01T00:00:00"/>
    <x v="45"/>
    <n v="4"/>
    <s v="0"/>
    <s v="VIP"/>
    <s v="Direct"/>
    <s v="Bank Transfer"/>
    <s v="6"/>
    <x v="2"/>
    <x v="1"/>
    <n v="23391.97020147639"/>
  </r>
  <r>
    <s v="1283"/>
    <s v="South"/>
    <n v="6745.1509580349302"/>
    <n v="0"/>
    <d v="2024-01-14T00:00:00"/>
    <x v="76"/>
    <n v="93"/>
    <s v="0"/>
    <s v="VIP"/>
    <s v="Online"/>
    <s v="Bank Transfer"/>
    <s v="7"/>
    <x v="0"/>
    <x v="18"/>
    <n v="6745.1509580349302"/>
  </r>
  <r>
    <s v="1284"/>
    <s v="East"/>
    <n v="25457.534259612301"/>
    <n v="5"/>
    <d v="2023-12-27T00:00:00"/>
    <x v="33"/>
    <n v="73"/>
    <s v="0"/>
    <s v="New"/>
    <s v="Direct"/>
    <s v="Cash"/>
    <s v="2"/>
    <x v="6"/>
    <x v="6"/>
    <n v="24184.657546631686"/>
  </r>
  <r>
    <s v="1285"/>
    <s v="South"/>
    <n v="26230.425962488102"/>
    <n v="10"/>
    <d v="2024-04-24T00:00:00"/>
    <x v="23"/>
    <n v="27"/>
    <s v="0"/>
    <s v="Returning"/>
    <s v="In-Store"/>
    <s v="Bank Transfer"/>
    <s v="9"/>
    <x v="5"/>
    <x v="3"/>
    <n v="23607.38336623929"/>
  </r>
  <r>
    <s v="1286"/>
    <s v="East"/>
    <n v="9633.0488379592498"/>
    <n v="15"/>
    <d v="2024-07-14T00:00:00"/>
    <x v="36"/>
    <n v="26"/>
    <s v="0"/>
    <s v="New"/>
    <s v="Online"/>
    <s v="Credit Card"/>
    <s v="1"/>
    <x v="1"/>
    <x v="9"/>
    <n v="8188.0915122653623"/>
  </r>
  <r>
    <s v="1287"/>
    <s v="North"/>
    <n v="0"/>
    <n v="0"/>
    <d v="2023-01-08T00:00:00"/>
    <x v="48"/>
    <n v="19"/>
    <s v="1"/>
    <s v="VIP"/>
    <s v="In-Store"/>
    <s v="Cash"/>
    <s v="1"/>
    <x v="5"/>
    <x v="4"/>
    <n v="0"/>
  </r>
  <r>
    <s v="1288"/>
    <s v="North"/>
    <n v="18142.795670021002"/>
    <n v="5"/>
    <d v="2023-05-13T00:00:00"/>
    <x v="40"/>
    <n v="92"/>
    <s v="0"/>
    <s v="Returning"/>
    <s v="In-Store"/>
    <s v="Credit Card"/>
    <s v="3"/>
    <x v="5"/>
    <x v="14"/>
    <n v="17235.655886519951"/>
  </r>
  <r>
    <s v="1289"/>
    <s v="North"/>
    <n v="12962.441526410799"/>
    <n v="0"/>
    <d v="2023-04-15T00:00:00"/>
    <x v="29"/>
    <n v="17"/>
    <s v="0"/>
    <s v="VIP"/>
    <s v="In-Store"/>
    <s v="Cash"/>
    <s v="6"/>
    <x v="0"/>
    <x v="13"/>
    <n v="12962.441526410799"/>
  </r>
  <r>
    <s v="1290"/>
    <s v="West"/>
    <n v="16110.916562045601"/>
    <n v="10"/>
    <d v="2024-07-14T00:00:00"/>
    <x v="33"/>
    <n v="43"/>
    <s v="0"/>
    <s v="Returning"/>
    <s v="Direct"/>
    <s v="Cash"/>
    <s v="5"/>
    <x v="3"/>
    <x v="9"/>
    <n v="14499.82490584104"/>
  </r>
  <r>
    <s v="1291"/>
    <s v="North"/>
    <n v="14447.1207726708"/>
    <n v="15"/>
    <d v="2023-07-07T00:00:00"/>
    <x v="42"/>
    <n v="41"/>
    <s v="0"/>
    <s v="VIP"/>
    <s v="In-Store"/>
    <s v="Credit Card"/>
    <s v="2"/>
    <x v="4"/>
    <x v="20"/>
    <n v="12280.052656770182"/>
  </r>
  <r>
    <s v="1292"/>
    <s v="East"/>
    <n v="28761.352217118099"/>
    <n v="0"/>
    <d v="2024-08-04T00:00:00"/>
    <x v="92"/>
    <n v="42"/>
    <s v="0"/>
    <s v="Returning"/>
    <s v="In-Store"/>
    <s v="Bank Transfer"/>
    <s v="9"/>
    <x v="4"/>
    <x v="2"/>
    <n v="28761.352217118096"/>
  </r>
  <r>
    <s v="1293"/>
    <s v="North"/>
    <n v="24678.391965737301"/>
    <n v="0"/>
    <d v="2023-11-27T00:00:00"/>
    <x v="69"/>
    <n v="50"/>
    <s v="0"/>
    <s v="Returning"/>
    <s v="In-Store"/>
    <s v="Bank Transfer"/>
    <s v="10"/>
    <x v="1"/>
    <x v="15"/>
    <n v="24678.391965737301"/>
  </r>
  <r>
    <s v="1294"/>
    <s v="South"/>
    <n v="26357.775474970698"/>
    <n v="0"/>
    <d v="2023-02-19T00:00:00"/>
    <x v="9"/>
    <n v="84"/>
    <s v="0"/>
    <s v="Returning"/>
    <s v="Direct"/>
    <s v="Cash"/>
    <s v="4"/>
    <x v="2"/>
    <x v="7"/>
    <n v="26357.775474970698"/>
  </r>
  <r>
    <s v="1295"/>
    <s v="South"/>
    <n v="23608.360320216099"/>
    <n v="10"/>
    <d v="2023-10-04T00:00:00"/>
    <x v="17"/>
    <n v="40"/>
    <s v="0"/>
    <s v="Returning"/>
    <s v="In-Store"/>
    <s v="Credit Card"/>
    <s v="4"/>
    <x v="1"/>
    <x v="8"/>
    <n v="21247.524288194491"/>
  </r>
  <r>
    <s v="1296"/>
    <s v="West"/>
    <n v="14354.7411439138"/>
    <n v="0"/>
    <d v="2024-01-03T00:00:00"/>
    <x v="27"/>
    <n v="39"/>
    <s v="0"/>
    <s v="VIP"/>
    <s v="In-Store"/>
    <s v="Credit Card"/>
    <s v="5"/>
    <x v="3"/>
    <x v="18"/>
    <n v="14354.7411439138"/>
  </r>
  <r>
    <s v="1297"/>
    <s v="South"/>
    <n v="17377.398668601101"/>
    <n v="10"/>
    <d v="2024-01-27T00:00:00"/>
    <x v="13"/>
    <n v="23"/>
    <s v="0"/>
    <s v="VIP"/>
    <s v="Online"/>
    <s v="Cash"/>
    <s v="8"/>
    <x v="4"/>
    <x v="18"/>
    <n v="15639.65880174099"/>
  </r>
  <r>
    <s v="1298"/>
    <s v="East"/>
    <n v="22446.872806139501"/>
    <n v="10"/>
    <d v="2024-09-06T00:00:00"/>
    <x v="40"/>
    <n v="96"/>
    <s v="0"/>
    <s v="Returning"/>
    <s v="Direct"/>
    <s v="Bank Transfer"/>
    <s v="10"/>
    <x v="2"/>
    <x v="11"/>
    <n v="20202.18552552555"/>
  </r>
  <r>
    <s v="1299"/>
    <s v="North"/>
    <n v="13889.3609555402"/>
    <n v="10"/>
    <d v="2024-07-08T00:00:00"/>
    <x v="65"/>
    <n v="52"/>
    <s v="0"/>
    <s v="Returning"/>
    <s v="In-Store"/>
    <s v="Credit Card"/>
    <s v="4"/>
    <x v="1"/>
    <x v="9"/>
    <n v="12500.42485998618"/>
  </r>
  <r>
    <s v="1300"/>
    <s v="West"/>
    <n v="23564.992150861901"/>
    <n v="15"/>
    <d v="2024-06-01T00:00:00"/>
    <x v="28"/>
    <n v="47"/>
    <s v="0"/>
    <s v="VIP"/>
    <s v="Online"/>
    <s v="Bank Transfer"/>
    <s v="5"/>
    <x v="2"/>
    <x v="5"/>
    <n v="20030.243328232616"/>
  </r>
  <r>
    <s v="1301"/>
    <s v="North"/>
    <n v="18798.373009209299"/>
    <n v="15"/>
    <d v="2024-05-24T00:00:00"/>
    <x v="34"/>
    <n v="63"/>
    <s v="0"/>
    <s v="Returning"/>
    <s v="Direct"/>
    <s v="Bank Transfer"/>
    <s v="4"/>
    <x v="5"/>
    <x v="1"/>
    <n v="15978.617057827905"/>
  </r>
  <r>
    <s v="1302"/>
    <s v="North"/>
    <n v="18125.895962252001"/>
    <n v="0"/>
    <d v="2024-03-11T00:00:00"/>
    <x v="86"/>
    <n v="97"/>
    <s v="0"/>
    <s v="Returning"/>
    <s v="Direct"/>
    <s v="Cash"/>
    <s v="6"/>
    <x v="6"/>
    <x v="12"/>
    <n v="18125.895962252001"/>
  </r>
  <r>
    <s v="1303"/>
    <s v="East"/>
    <n v="23554.7998410174"/>
    <n v="0"/>
    <d v="2023-02-18T00:00:00"/>
    <x v="7"/>
    <n v="69"/>
    <s v="0"/>
    <s v="Returning"/>
    <s v="Direct"/>
    <s v="Cash"/>
    <s v="3"/>
    <x v="5"/>
    <x v="7"/>
    <n v="23554.7998410174"/>
  </r>
  <r>
    <s v="1304"/>
    <s v="South"/>
    <n v="22221.3165574302"/>
    <n v="15"/>
    <d v="2023-01-31T00:00:00"/>
    <x v="93"/>
    <n v="43"/>
    <s v="0"/>
    <s v="New"/>
    <s v="Direct"/>
    <s v="Bank Transfer"/>
    <s v="8"/>
    <x v="0"/>
    <x v="4"/>
    <n v="18888.119073815669"/>
  </r>
  <r>
    <s v="1305"/>
    <s v="nan"/>
    <n v="0"/>
    <n v="5"/>
    <d v="2024-05-04T00:00:00"/>
    <x v="89"/>
    <n v="48"/>
    <s v="0"/>
    <s v="Returning"/>
    <s v="Direct"/>
    <s v="Credit Card"/>
    <s v="6"/>
    <x v="4"/>
    <x v="1"/>
    <n v="0"/>
  </r>
  <r>
    <s v="1306"/>
    <s v="North"/>
    <n v="25796.6490168212"/>
    <n v="15"/>
    <d v="2023-02-21T00:00:00"/>
    <x v="65"/>
    <n v="34"/>
    <s v="0"/>
    <s v="New"/>
    <s v="Direct"/>
    <s v="Credit Card"/>
    <s v="10"/>
    <x v="2"/>
    <x v="7"/>
    <n v="21927.151664298017"/>
  </r>
  <r>
    <s v="1307"/>
    <s v="West"/>
    <n v="14594.6833620005"/>
    <n v="10"/>
    <d v="2024-07-24T00:00:00"/>
    <x v="32"/>
    <n v="40"/>
    <s v="0"/>
    <s v="Returning"/>
    <s v="In-Store"/>
    <s v="Cash"/>
    <s v="5"/>
    <x v="1"/>
    <x v="9"/>
    <n v="13135.215025800449"/>
  </r>
  <r>
    <s v="1308"/>
    <s v="South"/>
    <n v="23079.678034721299"/>
    <n v="15"/>
    <d v="2024-04-04T00:00:00"/>
    <x v="80"/>
    <n v="75"/>
    <s v="0"/>
    <s v="VIP"/>
    <s v="In-Store"/>
    <s v="Bank Transfer"/>
    <s v="2"/>
    <x v="6"/>
    <x v="3"/>
    <n v="19617.726329513105"/>
  </r>
  <r>
    <s v="1309"/>
    <s v="West"/>
    <n v="22965.506289841898"/>
    <n v="10"/>
    <d v="2023-05-13T00:00:00"/>
    <x v="61"/>
    <n v="61"/>
    <s v="0"/>
    <s v="New"/>
    <s v="In-Store"/>
    <s v="Credit Card"/>
    <s v="10"/>
    <x v="1"/>
    <x v="14"/>
    <n v="20668.955660857708"/>
  </r>
  <r>
    <s v="1310"/>
    <s v="South"/>
    <n v="18452.267803430001"/>
    <n v="0"/>
    <d v="2023-10-11T00:00:00"/>
    <x v="41"/>
    <n v="50"/>
    <s v="0"/>
    <s v="New"/>
    <s v="In-Store"/>
    <s v="Credit Card"/>
    <s v="10"/>
    <x v="4"/>
    <x v="8"/>
    <n v="18452.267803430001"/>
  </r>
  <r>
    <s v="1311"/>
    <s v="West"/>
    <n v="21630.665111210499"/>
    <n v="5"/>
    <d v="2024-09-11T00:00:00"/>
    <x v="14"/>
    <n v="67"/>
    <s v="0"/>
    <s v="Returning"/>
    <s v="Online"/>
    <s v="Cash"/>
    <s v="7"/>
    <x v="2"/>
    <x v="11"/>
    <n v="20549.131855649975"/>
  </r>
  <r>
    <s v="1312"/>
    <s v="East"/>
    <n v="13744.4321180734"/>
    <n v="0"/>
    <d v="2024-01-15T00:00:00"/>
    <x v="25"/>
    <n v="62"/>
    <s v="0"/>
    <s v="Returning"/>
    <s v="In-Store"/>
    <s v="Bank Transfer"/>
    <s v="2"/>
    <x v="2"/>
    <x v="18"/>
    <n v="13744.432118073402"/>
  </r>
  <r>
    <s v="1313"/>
    <s v="West"/>
    <n v="24620.135096034501"/>
    <n v="10"/>
    <d v="2023-11-29T00:00:00"/>
    <x v="72"/>
    <n v="58"/>
    <s v="0"/>
    <s v="New"/>
    <s v="Direct"/>
    <s v="Credit Card"/>
    <s v="1"/>
    <x v="5"/>
    <x v="15"/>
    <n v="22158.121586431051"/>
  </r>
  <r>
    <s v="1314"/>
    <s v="East"/>
    <n v="19075.489317784999"/>
    <n v="10"/>
    <d v="2023-01-18T00:00:00"/>
    <x v="56"/>
    <n v="33"/>
    <s v="0"/>
    <s v="VIP"/>
    <s v="In-Store"/>
    <s v="Cash"/>
    <s v="7"/>
    <x v="6"/>
    <x v="4"/>
    <n v="17167.940386006499"/>
  </r>
  <r>
    <s v="1315"/>
    <s v="East"/>
    <n v="17386.384897404801"/>
    <n v="10"/>
    <d v="2023-07-13T00:00:00"/>
    <x v="66"/>
    <n v="75"/>
    <s v="0"/>
    <s v="VIP"/>
    <s v="In-Store"/>
    <s v="Credit Card"/>
    <s v="5"/>
    <x v="6"/>
    <x v="20"/>
    <n v="15647.746407664321"/>
  </r>
  <r>
    <s v="1316"/>
    <s v="West"/>
    <n v="25245.0461291844"/>
    <n v="5"/>
    <d v="2024-09-26T00:00:00"/>
    <x v="61"/>
    <n v="16"/>
    <s v="1"/>
    <s v="Returning"/>
    <s v="Direct"/>
    <s v="Credit Card"/>
    <s v="1"/>
    <x v="4"/>
    <x v="11"/>
    <n v="23982.793822725183"/>
  </r>
  <r>
    <s v="1317"/>
    <s v="East"/>
    <n v="16478.281547286198"/>
    <n v="15"/>
    <d v="2023-10-24T00:00:00"/>
    <x v="22"/>
    <n v="82"/>
    <s v="0"/>
    <s v="VIP"/>
    <s v="In-Store"/>
    <s v="Credit Card"/>
    <s v="4"/>
    <x v="2"/>
    <x v="8"/>
    <n v="14006.539315193268"/>
  </r>
  <r>
    <s v="1318"/>
    <s v="North"/>
    <n v="12957.693518182199"/>
    <n v="0"/>
    <d v="2023-11-16T00:00:00"/>
    <x v="69"/>
    <n v="94"/>
    <s v="0"/>
    <s v="VIP"/>
    <s v="In-Store"/>
    <s v="Cash"/>
    <s v="4"/>
    <x v="6"/>
    <x v="15"/>
    <n v="12957.693518182199"/>
  </r>
  <r>
    <s v="1319"/>
    <s v="East"/>
    <n v="12216.8541323804"/>
    <n v="0"/>
    <d v="2023-10-12T00:00:00"/>
    <x v="30"/>
    <n v="48"/>
    <s v="1"/>
    <s v="Returning"/>
    <s v="In-Store"/>
    <s v="Bank Transfer"/>
    <s v="10"/>
    <x v="6"/>
    <x v="8"/>
    <n v="12216.8541323804"/>
  </r>
  <r>
    <s v="1320"/>
    <s v="South"/>
    <n v="23030.0497567282"/>
    <n v="15"/>
    <d v="2024-02-05T00:00:00"/>
    <x v="74"/>
    <n v="10"/>
    <s v="1"/>
    <s v="VIP"/>
    <s v="Online"/>
    <s v="Cash"/>
    <s v="7"/>
    <x v="1"/>
    <x v="0"/>
    <n v="19575.542293218969"/>
  </r>
  <r>
    <s v="1321"/>
    <s v="West"/>
    <n v="13597.8532375185"/>
    <n v="0"/>
    <d v="2023-11-09T00:00:00"/>
    <x v="94"/>
    <n v="82"/>
    <s v="0"/>
    <s v="Returning"/>
    <s v="In-Store"/>
    <s v="Bank Transfer"/>
    <s v="9"/>
    <x v="4"/>
    <x v="15"/>
    <n v="13597.8532375185"/>
  </r>
  <r>
    <s v="1322"/>
    <s v="North"/>
    <n v="28773.970909921802"/>
    <n v="5"/>
    <d v="2024-05-13T00:00:00"/>
    <x v="45"/>
    <n v="38"/>
    <s v="0"/>
    <s v="New"/>
    <s v="Direct"/>
    <s v="Credit Card"/>
    <s v="2"/>
    <x v="5"/>
    <x v="1"/>
    <n v="27335.272364425709"/>
  </r>
  <r>
    <s v="1323"/>
    <s v="West"/>
    <n v="9590.3529605813892"/>
    <n v="0"/>
    <d v="2023-09-30T00:00:00"/>
    <x v="49"/>
    <n v="19"/>
    <s v="0"/>
    <s v="Returning"/>
    <s v="Direct"/>
    <s v="Bank Transfer"/>
    <s v="1"/>
    <x v="1"/>
    <x v="19"/>
    <n v="9590.3529605813892"/>
  </r>
  <r>
    <s v="1324"/>
    <s v="South"/>
    <n v="28482.281841450102"/>
    <n v="10"/>
    <d v="2023-12-23T00:00:00"/>
    <x v="42"/>
    <n v="36"/>
    <s v="0"/>
    <s v="New"/>
    <s v="In-Store"/>
    <s v="Credit Card"/>
    <s v="2"/>
    <x v="1"/>
    <x v="6"/>
    <n v="25634.053657305092"/>
  </r>
  <r>
    <s v="1325"/>
    <s v="South"/>
    <n v="21055.087336012999"/>
    <n v="15"/>
    <d v="2023-08-17T00:00:00"/>
    <x v="30"/>
    <n v="59"/>
    <s v="0"/>
    <s v="New"/>
    <s v="In-Store"/>
    <s v="Credit Card"/>
    <s v="7"/>
    <x v="3"/>
    <x v="17"/>
    <n v="17896.82423561105"/>
  </r>
  <r>
    <s v="1326"/>
    <s v="South"/>
    <n v="19516.434440648001"/>
    <n v="5"/>
    <d v="2024-09-04T00:00:00"/>
    <x v="48"/>
    <n v="63"/>
    <s v="0"/>
    <s v="VIP"/>
    <s v="In-Store"/>
    <s v="Cash"/>
    <s v="10"/>
    <x v="0"/>
    <x v="11"/>
    <n v="18540.612718615601"/>
  </r>
  <r>
    <s v="1327"/>
    <s v="East"/>
    <n v="17275.404565955199"/>
    <n v="15"/>
    <d v="2023-02-27T00:00:00"/>
    <x v="84"/>
    <n v="77"/>
    <s v="0"/>
    <s v="VIP"/>
    <s v="Direct"/>
    <s v="Credit Card"/>
    <s v="6"/>
    <x v="3"/>
    <x v="7"/>
    <n v="14684.093881061919"/>
  </r>
  <r>
    <s v="1328"/>
    <s v="East"/>
    <n v="21995.680571760298"/>
    <n v="5"/>
    <d v="2023-02-03T00:00:00"/>
    <x v="82"/>
    <n v="46"/>
    <s v="0"/>
    <s v="VIP"/>
    <s v="Direct"/>
    <s v="Cash"/>
    <s v="4"/>
    <x v="6"/>
    <x v="7"/>
    <n v="20895.896543172283"/>
  </r>
  <r>
    <s v="1329"/>
    <s v="West"/>
    <n v="0"/>
    <n v="10"/>
    <d v="2024-04-10T00:00:00"/>
    <x v="6"/>
    <n v="3"/>
    <s v="0"/>
    <s v="Returning"/>
    <s v="Online"/>
    <s v="Bank Transfer"/>
    <s v="1"/>
    <x v="2"/>
    <x v="3"/>
    <n v="0"/>
  </r>
  <r>
    <s v="1330"/>
    <s v="West"/>
    <n v="25516.509410082599"/>
    <n v="15"/>
    <d v="2024-07-02T00:00:00"/>
    <x v="7"/>
    <n v="74"/>
    <s v="0"/>
    <s v="VIP"/>
    <s v="Online"/>
    <s v="Bank Transfer"/>
    <s v="1"/>
    <x v="0"/>
    <x v="9"/>
    <n v="21689.032998570208"/>
  </r>
  <r>
    <s v="1331"/>
    <s v="North"/>
    <n v="20571.138243310099"/>
    <n v="0"/>
    <d v="2024-01-11T00:00:00"/>
    <x v="63"/>
    <n v="65"/>
    <s v="0"/>
    <s v="New"/>
    <s v="Online"/>
    <s v="Credit Card"/>
    <s v="5"/>
    <x v="0"/>
    <x v="18"/>
    <n v="20571.138243310099"/>
  </r>
  <r>
    <s v="1332"/>
    <s v="North"/>
    <n v="20751.508807309299"/>
    <n v="5"/>
    <d v="2023-05-10T00:00:00"/>
    <x v="39"/>
    <n v="91"/>
    <s v="0"/>
    <s v="VIP"/>
    <s v="Direct"/>
    <s v="Cash"/>
    <s v="1"/>
    <x v="2"/>
    <x v="14"/>
    <n v="19713.933366943835"/>
  </r>
  <r>
    <s v="1333"/>
    <s v="West"/>
    <n v="18181.9389389307"/>
    <n v="15"/>
    <d v="2023-12-21T00:00:00"/>
    <x v="36"/>
    <n v="8"/>
    <s v="0"/>
    <s v="VIP"/>
    <s v="Online"/>
    <s v="Credit Card"/>
    <s v="7"/>
    <x v="0"/>
    <x v="6"/>
    <n v="15454.648098091095"/>
  </r>
  <r>
    <s v="1334"/>
    <s v="East"/>
    <n v="19715.271881394601"/>
    <n v="0"/>
    <d v="2023-04-09T00:00:00"/>
    <x v="69"/>
    <n v="51"/>
    <s v="0"/>
    <s v="Returning"/>
    <s v="In-Store"/>
    <s v="Cash"/>
    <s v="1"/>
    <x v="2"/>
    <x v="13"/>
    <n v="19715.271881394601"/>
  </r>
  <r>
    <s v="1335"/>
    <s v="South"/>
    <n v="21539.008844460201"/>
    <n v="15"/>
    <d v="2023-01-01T00:00:00"/>
    <x v="69"/>
    <n v="81"/>
    <s v="0"/>
    <s v="Returning"/>
    <s v="In-Store"/>
    <s v="Cash"/>
    <s v="1"/>
    <x v="0"/>
    <x v="4"/>
    <n v="18308.157517791173"/>
  </r>
  <r>
    <s v="1336"/>
    <s v="West"/>
    <n v="11449.158036716801"/>
    <n v="15"/>
    <d v="2023-08-16T00:00:00"/>
    <x v="18"/>
    <n v="73"/>
    <s v="1"/>
    <s v="New"/>
    <s v="Direct"/>
    <s v="Cash"/>
    <s v="2"/>
    <x v="1"/>
    <x v="17"/>
    <n v="9731.7843312092809"/>
  </r>
  <r>
    <s v="1337"/>
    <s v="North"/>
    <n v="13259.072889471399"/>
    <n v="15"/>
    <d v="2024-06-10T00:00:00"/>
    <x v="89"/>
    <n v="6"/>
    <s v="0"/>
    <s v="Returning"/>
    <s v="Online"/>
    <s v="Bank Transfer"/>
    <s v="10"/>
    <x v="4"/>
    <x v="5"/>
    <n v="11270.211956050689"/>
  </r>
  <r>
    <s v="1338"/>
    <s v="East"/>
    <n v="23716.3204701135"/>
    <n v="5"/>
    <d v="2023-12-29T00:00:00"/>
    <x v="39"/>
    <n v="89"/>
    <s v="0"/>
    <s v="VIP"/>
    <s v="In-Store"/>
    <s v="Cash"/>
    <s v="3"/>
    <x v="4"/>
    <x v="6"/>
    <n v="22530.504446607825"/>
  </r>
  <r>
    <s v="1339"/>
    <s v="West"/>
    <n v="20854.327190639699"/>
    <n v="0"/>
    <d v="2024-05-26T00:00:00"/>
    <x v="34"/>
    <n v="39"/>
    <s v="0"/>
    <s v="Returning"/>
    <s v="Direct"/>
    <s v="Bank Transfer"/>
    <s v="1"/>
    <x v="3"/>
    <x v="1"/>
    <n v="20854.327190639699"/>
  </r>
  <r>
    <s v="1340"/>
    <s v="West"/>
    <n v="0"/>
    <n v="10"/>
    <d v="2024-09-19T00:00:00"/>
    <x v="58"/>
    <n v="60"/>
    <s v="0"/>
    <s v="New"/>
    <s v="Online"/>
    <s v="Cash"/>
    <s v="9"/>
    <x v="1"/>
    <x v="11"/>
    <n v="0"/>
  </r>
  <r>
    <s v="1341"/>
    <s v="East"/>
    <n v="0"/>
    <n v="5"/>
    <d v="2023-02-06T00:00:00"/>
    <x v="67"/>
    <n v="28"/>
    <s v="0"/>
    <s v="VIP"/>
    <s v="In-Store"/>
    <s v="Bank Transfer"/>
    <s v="10"/>
    <x v="0"/>
    <x v="7"/>
    <n v="0"/>
  </r>
  <r>
    <s v="1342"/>
    <s v="West"/>
    <n v="21737.9085268083"/>
    <n v="5"/>
    <d v="2023-06-11T00:00:00"/>
    <x v="78"/>
    <n v="97"/>
    <s v="0"/>
    <s v="New"/>
    <s v="Online"/>
    <s v="Bank Transfer"/>
    <s v="8"/>
    <x v="5"/>
    <x v="16"/>
    <n v="20651.013100467884"/>
  </r>
  <r>
    <s v="1343"/>
    <s v="East"/>
    <n v="17301.201598453099"/>
    <n v="5"/>
    <d v="2023-04-25T00:00:00"/>
    <x v="31"/>
    <n v="54"/>
    <s v="0"/>
    <s v="Returning"/>
    <s v="Direct"/>
    <s v="Bank Transfer"/>
    <s v="5"/>
    <x v="2"/>
    <x v="13"/>
    <n v="16436.141518530447"/>
  </r>
  <r>
    <s v="1344"/>
    <s v="South"/>
    <n v="16108.4763729884"/>
    <n v="10"/>
    <d v="2023-11-11T00:00:00"/>
    <x v="43"/>
    <n v="37"/>
    <s v="0"/>
    <s v="Returning"/>
    <s v="Online"/>
    <s v="Credit Card"/>
    <s v="2"/>
    <x v="1"/>
    <x v="15"/>
    <n v="14497.628735689561"/>
  </r>
  <r>
    <s v="1345"/>
    <s v="East"/>
    <n v="20979.2262754884"/>
    <n v="0"/>
    <d v="2024-03-02T00:00:00"/>
    <x v="11"/>
    <n v="9"/>
    <s v="0"/>
    <s v="New"/>
    <s v="Direct"/>
    <s v="Cash"/>
    <s v="5"/>
    <x v="0"/>
    <x v="12"/>
    <n v="20979.2262754884"/>
  </r>
  <r>
    <s v="1346"/>
    <s v="East"/>
    <n v="15108.136111924799"/>
    <n v="0"/>
    <d v="2023-01-22T00:00:00"/>
    <x v="48"/>
    <n v="82"/>
    <s v="0"/>
    <s v="VIP"/>
    <s v="Online"/>
    <s v="Credit Card"/>
    <s v="6"/>
    <x v="4"/>
    <x v="4"/>
    <n v="15108.136111924799"/>
  </r>
  <r>
    <s v="1347"/>
    <s v="East"/>
    <n v="22041.263778572302"/>
    <n v="0"/>
    <d v="2023-02-17T00:00:00"/>
    <x v="12"/>
    <n v="56"/>
    <s v="1"/>
    <s v="Returning"/>
    <s v="In-Store"/>
    <s v="Cash"/>
    <s v="1"/>
    <x v="4"/>
    <x v="7"/>
    <n v="22041.263778572302"/>
  </r>
  <r>
    <s v="1348"/>
    <s v="West"/>
    <n v="11487.0819788107"/>
    <n v="15"/>
    <d v="2024-08-25T00:00:00"/>
    <x v="83"/>
    <n v="59"/>
    <s v="1"/>
    <s v="Returning"/>
    <s v="Direct"/>
    <s v="Cash"/>
    <s v="4"/>
    <x v="2"/>
    <x v="2"/>
    <n v="9764.0196819890953"/>
  </r>
  <r>
    <s v="1349"/>
    <s v="West"/>
    <n v="25145.778186628198"/>
    <n v="15"/>
    <d v="2023-07-03T00:00:00"/>
    <x v="95"/>
    <n v="85"/>
    <s v="0"/>
    <s v="VIP"/>
    <s v="Direct"/>
    <s v="Credit Card"/>
    <s v="9"/>
    <x v="5"/>
    <x v="20"/>
    <n v="21373.911458633971"/>
  </r>
  <r>
    <s v="1350"/>
    <s v="East"/>
    <n v="22362.987412065198"/>
    <n v="15"/>
    <d v="2023-08-25T00:00:00"/>
    <x v="89"/>
    <n v="2"/>
    <s v="0"/>
    <s v="Returning"/>
    <s v="Direct"/>
    <s v="Bank Transfer"/>
    <s v="2"/>
    <x v="0"/>
    <x v="17"/>
    <n v="19008.539300255419"/>
  </r>
  <r>
    <s v="1351"/>
    <s v="West"/>
    <n v="21280.148671569299"/>
    <n v="10"/>
    <d v="2024-01-10T00:00:00"/>
    <x v="90"/>
    <n v="61"/>
    <s v="0"/>
    <s v="New"/>
    <s v="Online"/>
    <s v="Cash"/>
    <s v="5"/>
    <x v="0"/>
    <x v="18"/>
    <n v="19152.133804412369"/>
  </r>
  <r>
    <s v="1352"/>
    <s v="North"/>
    <n v="24913.454919727501"/>
    <n v="15"/>
    <d v="2023-07-29T00:00:00"/>
    <x v="2"/>
    <n v="58"/>
    <s v="0"/>
    <s v="Returning"/>
    <s v="Online"/>
    <s v="Bank Transfer"/>
    <s v="1"/>
    <x v="5"/>
    <x v="20"/>
    <n v="21176.436681768377"/>
  </r>
  <r>
    <s v="1353"/>
    <s v="North"/>
    <n v="28327.372222312799"/>
    <n v="10"/>
    <d v="2024-01-12T00:00:00"/>
    <x v="91"/>
    <n v="60"/>
    <s v="0"/>
    <s v="Returning"/>
    <s v="In-Store"/>
    <s v="Credit Card"/>
    <s v="4"/>
    <x v="5"/>
    <x v="18"/>
    <n v="25494.635000081518"/>
  </r>
  <r>
    <s v="1354"/>
    <s v="West"/>
    <n v="25071.8503250906"/>
    <n v="0"/>
    <d v="2024-05-04T00:00:00"/>
    <x v="16"/>
    <n v="40"/>
    <s v="1"/>
    <s v="VIP"/>
    <s v="Direct"/>
    <s v="Bank Transfer"/>
    <s v="4"/>
    <x v="5"/>
    <x v="1"/>
    <n v="25071.8503250906"/>
  </r>
  <r>
    <s v="1355"/>
    <s v="West"/>
    <n v="10795.628843341699"/>
    <n v="15"/>
    <d v="2024-05-10T00:00:00"/>
    <x v="78"/>
    <n v="36"/>
    <s v="0"/>
    <s v="New"/>
    <s v="Direct"/>
    <s v="Cash"/>
    <s v="6"/>
    <x v="4"/>
    <x v="1"/>
    <n v="9176.2845168404438"/>
  </r>
  <r>
    <s v="1356"/>
    <s v="nan"/>
    <n v="13602.1151663214"/>
    <n v="15"/>
    <d v="2024-09-29T00:00:00"/>
    <x v="23"/>
    <n v="37"/>
    <s v="0"/>
    <s v="VIP"/>
    <s v="Online"/>
    <s v="Cash"/>
    <s v="10"/>
    <x v="2"/>
    <x v="11"/>
    <n v="11561.797891373189"/>
  </r>
  <r>
    <s v="1357"/>
    <s v="South"/>
    <n v="0"/>
    <n v="5"/>
    <d v="2023-07-13T00:00:00"/>
    <x v="62"/>
    <n v="79"/>
    <s v="0"/>
    <s v="Returning"/>
    <s v="Online"/>
    <s v="Cash"/>
    <s v="9"/>
    <x v="1"/>
    <x v="20"/>
    <n v="0"/>
  </r>
  <r>
    <s v="1358"/>
    <s v="West"/>
    <n v="0"/>
    <n v="10"/>
    <d v="2024-01-05T00:00:00"/>
    <x v="88"/>
    <n v="92"/>
    <s v="1"/>
    <s v="Returning"/>
    <s v="In-Store"/>
    <s v="Credit Card"/>
    <s v="3"/>
    <x v="5"/>
    <x v="18"/>
    <n v="0"/>
  </r>
  <r>
    <s v="1359"/>
    <s v="North"/>
    <n v="22588.295102345601"/>
    <n v="0"/>
    <d v="2023-05-21T00:00:00"/>
    <x v="22"/>
    <n v="18"/>
    <s v="0"/>
    <s v="VIP"/>
    <s v="In-Store"/>
    <s v="Cash"/>
    <s v="9"/>
    <x v="2"/>
    <x v="14"/>
    <n v="22588.295102345597"/>
  </r>
  <r>
    <s v="1360"/>
    <s v="East"/>
    <n v="16371.2809342326"/>
    <n v="5"/>
    <d v="2024-09-16T00:00:00"/>
    <x v="29"/>
    <n v="98"/>
    <s v="0"/>
    <s v="VIP"/>
    <s v="Online"/>
    <s v="Credit Card"/>
    <s v="6"/>
    <x v="3"/>
    <x v="11"/>
    <n v="15552.71688752097"/>
  </r>
  <r>
    <s v="1361"/>
    <s v="West"/>
    <n v="20933.833822385299"/>
    <n v="5"/>
    <d v="2023-04-15T00:00:00"/>
    <x v="95"/>
    <n v="63"/>
    <s v="0"/>
    <s v="VIP"/>
    <s v="Direct"/>
    <s v="Bank Transfer"/>
    <s v="7"/>
    <x v="0"/>
    <x v="13"/>
    <n v="19887.142131266031"/>
  </r>
  <r>
    <s v="1362"/>
    <s v="North"/>
    <n v="16223.085338233301"/>
    <n v="0"/>
    <d v="2023-11-02T00:00:00"/>
    <x v="38"/>
    <n v="22"/>
    <s v="0"/>
    <s v="New"/>
    <s v="In-Store"/>
    <s v="Cash"/>
    <s v="10"/>
    <x v="0"/>
    <x v="15"/>
    <n v="16223.085338233299"/>
  </r>
  <r>
    <s v="1363"/>
    <s v="North"/>
    <n v="16942.410985040198"/>
    <n v="5"/>
    <d v="2023-10-17T00:00:00"/>
    <x v="51"/>
    <n v="11"/>
    <s v="0"/>
    <s v="Returning"/>
    <s v="Online"/>
    <s v="Cash"/>
    <s v="2"/>
    <x v="6"/>
    <x v="8"/>
    <n v="16095.290435788189"/>
  </r>
  <r>
    <s v="1364"/>
    <s v="South"/>
    <n v="12966.6945157588"/>
    <n v="10"/>
    <d v="2023-08-27T00:00:00"/>
    <x v="27"/>
    <n v="58"/>
    <s v="1"/>
    <s v="VIP"/>
    <s v="Online"/>
    <s v="Cash"/>
    <s v="10"/>
    <x v="3"/>
    <x v="17"/>
    <n v="11670.025064182919"/>
  </r>
  <r>
    <s v="1365"/>
    <s v="East"/>
    <n v="15383.8337694454"/>
    <n v="10"/>
    <d v="2023-05-20T00:00:00"/>
    <x v="73"/>
    <n v="57"/>
    <s v="0"/>
    <s v="Returning"/>
    <s v="Direct"/>
    <s v="Bank Transfer"/>
    <s v="6"/>
    <x v="1"/>
    <x v="14"/>
    <n v="13845.450392500861"/>
  </r>
  <r>
    <s v="1366"/>
    <s v="East"/>
    <n v="13241.576971918301"/>
    <n v="15"/>
    <d v="2024-03-12T00:00:00"/>
    <x v="6"/>
    <n v="77"/>
    <s v="0"/>
    <s v="New"/>
    <s v="Online"/>
    <s v="Cash"/>
    <s v="6"/>
    <x v="5"/>
    <x v="12"/>
    <n v="11255.340426130555"/>
  </r>
  <r>
    <s v="1367"/>
    <s v="South"/>
    <n v="15120.633735113301"/>
    <n v="5"/>
    <d v="2023-06-11T00:00:00"/>
    <x v="9"/>
    <n v="4"/>
    <s v="0"/>
    <s v="New"/>
    <s v="Online"/>
    <s v="Credit Card"/>
    <s v="2"/>
    <x v="5"/>
    <x v="16"/>
    <n v="14364.602048357636"/>
  </r>
  <r>
    <s v="1368"/>
    <s v="South"/>
    <n v="25268.2089830392"/>
    <n v="15"/>
    <d v="2024-04-05T00:00:00"/>
    <x v="47"/>
    <n v="86"/>
    <s v="0"/>
    <s v="New"/>
    <s v="In-Store"/>
    <s v="Bank Transfer"/>
    <s v="2"/>
    <x v="1"/>
    <x v="3"/>
    <n v="21477.97763558332"/>
  </r>
  <r>
    <s v="1369"/>
    <s v="East"/>
    <n v="15253.0055558402"/>
    <n v="5"/>
    <d v="2023-04-30T00:00:00"/>
    <x v="1"/>
    <n v="7"/>
    <s v="0"/>
    <s v="New"/>
    <s v="Online"/>
    <s v="Bank Transfer"/>
    <s v="2"/>
    <x v="4"/>
    <x v="13"/>
    <n v="14490.35527804819"/>
  </r>
  <r>
    <s v="1370"/>
    <s v="East"/>
    <n v="33161.910324186902"/>
    <n v="10"/>
    <d v="2023-05-02T00:00:00"/>
    <x v="53"/>
    <n v="61"/>
    <s v="0"/>
    <s v="Returning"/>
    <s v="Online"/>
    <s v="Bank Transfer"/>
    <s v="10"/>
    <x v="3"/>
    <x v="14"/>
    <n v="29845.719291768215"/>
  </r>
  <r>
    <s v="1371"/>
    <s v="West"/>
    <n v="22466.589504404401"/>
    <n v="10"/>
    <d v="2023-09-05T00:00:00"/>
    <x v="48"/>
    <n v="54"/>
    <s v="0"/>
    <s v="New"/>
    <s v="In-Store"/>
    <s v="Bank Transfer"/>
    <s v="1"/>
    <x v="5"/>
    <x v="19"/>
    <n v="20219.930553963961"/>
  </r>
  <r>
    <s v="1372"/>
    <s v="West"/>
    <n v="20924.1806184743"/>
    <n v="10"/>
    <d v="2023-05-17T00:00:00"/>
    <x v="6"/>
    <n v="88"/>
    <s v="0"/>
    <s v="New"/>
    <s v="Direct"/>
    <s v="Bank Transfer"/>
    <s v="5"/>
    <x v="6"/>
    <x v="14"/>
    <n v="18831.762556626869"/>
  </r>
  <r>
    <s v="1373"/>
    <s v="South"/>
    <n v="15708.2110990939"/>
    <n v="5"/>
    <d v="2023-08-27T00:00:00"/>
    <x v="34"/>
    <n v="68"/>
    <s v="0"/>
    <s v="VIP"/>
    <s v="Direct"/>
    <s v="Credit Card"/>
    <s v="8"/>
    <x v="2"/>
    <x v="17"/>
    <n v="14922.800544139205"/>
  </r>
  <r>
    <s v="1374"/>
    <s v="nan"/>
    <n v="23501.549397044899"/>
    <n v="10"/>
    <d v="2023-02-24T00:00:00"/>
    <x v="15"/>
    <n v="92"/>
    <s v="0"/>
    <s v="New"/>
    <s v="In-Store"/>
    <s v="Bank Transfer"/>
    <s v="2"/>
    <x v="0"/>
    <x v="7"/>
    <n v="21151.394457340408"/>
  </r>
  <r>
    <s v="1375"/>
    <s v="North"/>
    <n v="17121.810868811099"/>
    <n v="5"/>
    <d v="2023-10-30T00:00:00"/>
    <x v="86"/>
    <n v="79"/>
    <s v="0"/>
    <s v="VIP"/>
    <s v="In-Store"/>
    <s v="Cash"/>
    <s v="5"/>
    <x v="3"/>
    <x v="8"/>
    <n v="16265.720325370543"/>
  </r>
  <r>
    <s v="1376"/>
    <s v="West"/>
    <n v="20610.049073226801"/>
    <n v="15"/>
    <d v="2024-01-30T00:00:00"/>
    <x v="96"/>
    <n v="1"/>
    <s v="0"/>
    <s v="New"/>
    <s v="Direct"/>
    <s v="Bank Transfer"/>
    <s v="8"/>
    <x v="0"/>
    <x v="18"/>
    <n v="17518.541712242783"/>
  </r>
  <r>
    <s v="1377"/>
    <s v="West"/>
    <n v="32800.422691343898"/>
    <n v="5"/>
    <d v="2024-06-22T00:00:00"/>
    <x v="47"/>
    <n v="55"/>
    <s v="0"/>
    <s v="New"/>
    <s v="Direct"/>
    <s v="Bank Transfer"/>
    <s v="10"/>
    <x v="2"/>
    <x v="5"/>
    <n v="31160.401556776702"/>
  </r>
  <r>
    <s v="1378"/>
    <s v="North"/>
    <n v="19519.700501376701"/>
    <n v="15"/>
    <d v="2024-05-30T00:00:00"/>
    <x v="82"/>
    <n v="3"/>
    <s v="0"/>
    <s v="VIP"/>
    <s v="Direct"/>
    <s v="Bank Transfer"/>
    <s v="5"/>
    <x v="3"/>
    <x v="1"/>
    <n v="16591.745426170193"/>
  </r>
  <r>
    <s v="1379"/>
    <s v="South"/>
    <n v="25746.3666314283"/>
    <n v="5"/>
    <d v="2023-12-05T00:00:00"/>
    <x v="78"/>
    <n v="78"/>
    <s v="0"/>
    <s v="New"/>
    <s v="Direct"/>
    <s v="Bank Transfer"/>
    <s v="2"/>
    <x v="2"/>
    <x v="6"/>
    <n v="24459.048299856884"/>
  </r>
  <r>
    <s v="1380"/>
    <s v="North"/>
    <n v="16484.117874370499"/>
    <n v="15"/>
    <d v="2023-01-30T00:00:00"/>
    <x v="0"/>
    <n v="38"/>
    <s v="0"/>
    <s v="Returning"/>
    <s v="Direct"/>
    <s v="Bank Transfer"/>
    <s v="3"/>
    <x v="5"/>
    <x v="4"/>
    <n v="14011.500193214924"/>
  </r>
  <r>
    <s v="1381"/>
    <s v="West"/>
    <n v="19825.057547515102"/>
    <n v="10"/>
    <d v="2023-02-10T00:00:00"/>
    <x v="54"/>
    <n v="1"/>
    <s v="0"/>
    <s v="Returning"/>
    <s v="In-Store"/>
    <s v="Credit Card"/>
    <s v="6"/>
    <x v="1"/>
    <x v="7"/>
    <n v="17842.551792763592"/>
  </r>
  <r>
    <s v="1382"/>
    <s v="South"/>
    <n v="28854.0031781775"/>
    <n v="15"/>
    <d v="2024-09-06T00:00:00"/>
    <x v="44"/>
    <n v="38"/>
    <s v="0"/>
    <s v="New"/>
    <s v="Online"/>
    <s v="Credit Card"/>
    <s v="5"/>
    <x v="5"/>
    <x v="11"/>
    <n v="24525.902701450876"/>
  </r>
  <r>
    <s v="1383"/>
    <s v="West"/>
    <n v="16865.164711061101"/>
    <n v="10"/>
    <d v="2023-10-30T00:00:00"/>
    <x v="26"/>
    <n v="85"/>
    <s v="0"/>
    <s v="Returning"/>
    <s v="Direct"/>
    <s v="Bank Transfer"/>
    <s v="4"/>
    <x v="1"/>
    <x v="8"/>
    <n v="15178.648239954991"/>
  </r>
  <r>
    <s v="1384"/>
    <s v="North"/>
    <n v="29062.242789984601"/>
    <n v="10"/>
    <d v="2023-04-03T00:00:00"/>
    <x v="37"/>
    <n v="29"/>
    <s v="0"/>
    <s v="VIP"/>
    <s v="Direct"/>
    <s v="Credit Card"/>
    <s v="4"/>
    <x v="5"/>
    <x v="13"/>
    <n v="26156.018510986141"/>
  </r>
  <r>
    <s v="1385"/>
    <s v="North"/>
    <n v="0"/>
    <n v="15"/>
    <d v="2024-08-26T00:00:00"/>
    <x v="56"/>
    <n v="5"/>
    <s v="0"/>
    <s v="New"/>
    <s v="Online"/>
    <s v="Cash"/>
    <s v="5"/>
    <x v="2"/>
    <x v="2"/>
    <n v="0"/>
  </r>
  <r>
    <s v="1386"/>
    <s v="West"/>
    <n v="17187.6661205286"/>
    <n v="5"/>
    <d v="2024-05-23T00:00:00"/>
    <x v="26"/>
    <n v="74"/>
    <s v="1"/>
    <s v="New"/>
    <s v="Online"/>
    <s v="Bank Transfer"/>
    <s v="2"/>
    <x v="2"/>
    <x v="1"/>
    <n v="16328.282814502169"/>
  </r>
  <r>
    <s v="1387"/>
    <s v="East"/>
    <n v="23162.038695277599"/>
    <n v="5"/>
    <d v="2023-09-01T00:00:00"/>
    <x v="11"/>
    <n v="92"/>
    <s v="0"/>
    <s v="VIP"/>
    <s v="Online"/>
    <s v="Cash"/>
    <s v="9"/>
    <x v="2"/>
    <x v="19"/>
    <n v="22003.936760513716"/>
  </r>
  <r>
    <s v="1388"/>
    <s v="East"/>
    <n v="24862.772248133599"/>
    <n v="0"/>
    <d v="2023-02-11T00:00:00"/>
    <x v="15"/>
    <n v="21"/>
    <s v="0"/>
    <s v="VIP"/>
    <s v="Online"/>
    <s v="Cash"/>
    <s v="2"/>
    <x v="0"/>
    <x v="7"/>
    <n v="24862.772248133599"/>
  </r>
  <r>
    <s v="1389"/>
    <s v="North"/>
    <n v="0"/>
    <n v="5"/>
    <d v="2023-11-26T00:00:00"/>
    <x v="92"/>
    <n v="71"/>
    <s v="0"/>
    <s v="VIP"/>
    <s v="Online"/>
    <s v="Bank Transfer"/>
    <s v="10"/>
    <x v="2"/>
    <x v="15"/>
    <n v="0"/>
  </r>
  <r>
    <s v="1390"/>
    <s v="North"/>
    <n v="12148.876400547701"/>
    <n v="0"/>
    <d v="2023-02-28T00:00:00"/>
    <x v="75"/>
    <n v="67"/>
    <s v="1"/>
    <s v="New"/>
    <s v="Online"/>
    <s v="Cash"/>
    <s v="2"/>
    <x v="5"/>
    <x v="7"/>
    <n v="12148.876400547701"/>
  </r>
  <r>
    <s v="1391"/>
    <s v="East"/>
    <n v="16364.314120875601"/>
    <n v="5"/>
    <d v="2024-07-05T00:00:00"/>
    <x v="63"/>
    <n v="47"/>
    <s v="0"/>
    <s v="VIP"/>
    <s v="In-Store"/>
    <s v="Cash"/>
    <s v="10"/>
    <x v="6"/>
    <x v="9"/>
    <n v="15546.09841483182"/>
  </r>
  <r>
    <s v="1392"/>
    <s v="East"/>
    <n v="18762.406822242399"/>
    <n v="5"/>
    <d v="2023-09-29T00:00:00"/>
    <x v="37"/>
    <n v="84"/>
    <s v="0"/>
    <s v="VIP"/>
    <s v="Online"/>
    <s v="Cash"/>
    <s v="9"/>
    <x v="2"/>
    <x v="19"/>
    <n v="17824.286481130279"/>
  </r>
  <r>
    <s v="1393"/>
    <s v="West"/>
    <n v="19627.832854499698"/>
    <n v="10"/>
    <d v="2023-10-26T00:00:00"/>
    <x v="54"/>
    <n v="83"/>
    <s v="0"/>
    <s v="Returning"/>
    <s v="Online"/>
    <s v="Bank Transfer"/>
    <s v="3"/>
    <x v="6"/>
    <x v="8"/>
    <n v="17665.04956904973"/>
  </r>
  <r>
    <s v="1394"/>
    <s v="West"/>
    <n v="23103.3604877533"/>
    <n v="0"/>
    <d v="2023-03-01T00:00:00"/>
    <x v="6"/>
    <n v="35"/>
    <s v="0"/>
    <s v="Returning"/>
    <s v="In-Store"/>
    <s v="Bank Transfer"/>
    <s v="10"/>
    <x v="1"/>
    <x v="10"/>
    <n v="23103.360487753303"/>
  </r>
  <r>
    <s v="1395"/>
    <s v="East"/>
    <n v="20888.5050046662"/>
    <n v="5"/>
    <d v="2024-01-30T00:00:00"/>
    <x v="51"/>
    <n v="68"/>
    <s v="0"/>
    <s v="New"/>
    <s v="Online"/>
    <s v="Cash"/>
    <s v="7"/>
    <x v="5"/>
    <x v="18"/>
    <n v="19844.079754432889"/>
  </r>
  <r>
    <s v="1396"/>
    <s v="West"/>
    <n v="13323.2782064494"/>
    <n v="0"/>
    <d v="2023-03-26T00:00:00"/>
    <x v="58"/>
    <n v="69"/>
    <s v="0"/>
    <s v="Returning"/>
    <s v="Direct"/>
    <s v="Bank Transfer"/>
    <s v="4"/>
    <x v="2"/>
    <x v="10"/>
    <n v="13323.2782064494"/>
  </r>
  <r>
    <s v="1397"/>
    <s v="West"/>
    <n v="21900.989255029799"/>
    <n v="10"/>
    <d v="2023-10-04T00:00:00"/>
    <x v="72"/>
    <n v="1"/>
    <s v="0"/>
    <s v="Returning"/>
    <s v="Direct"/>
    <s v="Bank Transfer"/>
    <s v="6"/>
    <x v="0"/>
    <x v="8"/>
    <n v="19710.890329526817"/>
  </r>
  <r>
    <s v="1398"/>
    <s v="South"/>
    <n v="23052.928726419101"/>
    <n v="10"/>
    <d v="2023-08-06T00:00:00"/>
    <x v="24"/>
    <n v="68"/>
    <s v="0"/>
    <s v="VIP"/>
    <s v="Online"/>
    <s v="Cash"/>
    <s v="4"/>
    <x v="0"/>
    <x v="17"/>
    <n v="20747.635853777188"/>
  </r>
  <r>
    <s v="1399"/>
    <s v="West"/>
    <n v="0"/>
    <n v="0"/>
    <d v="2023-07-19T00:00:00"/>
    <x v="81"/>
    <n v="12"/>
    <s v="0"/>
    <s v="VIP"/>
    <s v="In-Store"/>
    <s v="Bank Transfer"/>
    <s v="10"/>
    <x v="1"/>
    <x v="20"/>
    <n v="0"/>
  </r>
  <r>
    <s v="1400"/>
    <s v="North"/>
    <n v="25403.903627773099"/>
    <n v="10"/>
    <d v="2024-01-12T00:00:00"/>
    <x v="13"/>
    <n v="60"/>
    <s v="0"/>
    <s v="Returning"/>
    <s v="Direct"/>
    <s v="Credit Card"/>
    <s v="7"/>
    <x v="6"/>
    <x v="18"/>
    <n v="22863.513264995789"/>
  </r>
  <r>
    <s v="1401"/>
    <s v="West"/>
    <n v="24169.610772744501"/>
    <n v="15"/>
    <d v="2023-05-15T00:00:00"/>
    <x v="94"/>
    <n v="27"/>
    <s v="0"/>
    <s v="Returning"/>
    <s v="In-Store"/>
    <s v="Bank Transfer"/>
    <s v="1"/>
    <x v="4"/>
    <x v="14"/>
    <n v="20544.169156832824"/>
  </r>
  <r>
    <s v="1402"/>
    <s v="nan"/>
    <n v="22295.9003961421"/>
    <n v="15"/>
    <d v="2023-11-28T00:00:00"/>
    <x v="84"/>
    <n v="56"/>
    <s v="0"/>
    <s v="Returning"/>
    <s v="Direct"/>
    <s v="Credit Card"/>
    <s v="3"/>
    <x v="0"/>
    <x v="15"/>
    <n v="18951.515336720786"/>
  </r>
  <r>
    <s v="1403"/>
    <s v="East"/>
    <n v="19649.171442706702"/>
    <n v="10"/>
    <d v="2023-04-11T00:00:00"/>
    <x v="47"/>
    <n v="23"/>
    <s v="0"/>
    <s v="New"/>
    <s v="Online"/>
    <s v="Cash"/>
    <s v="3"/>
    <x v="0"/>
    <x v="13"/>
    <n v="17684.254298436033"/>
  </r>
  <r>
    <s v="1404"/>
    <s v="North"/>
    <n v="11695.19533242"/>
    <n v="15"/>
    <d v="2023-06-20T00:00:00"/>
    <x v="71"/>
    <n v="25"/>
    <s v="1"/>
    <s v="New"/>
    <s v="In-Store"/>
    <s v="Bank Transfer"/>
    <s v="1"/>
    <x v="0"/>
    <x v="16"/>
    <n v="9940.916032557001"/>
  </r>
  <r>
    <s v="1405"/>
    <s v="West"/>
    <n v="22148.091095662901"/>
    <n v="5"/>
    <d v="2024-02-26T00:00:00"/>
    <x v="61"/>
    <n v="21"/>
    <s v="0"/>
    <s v="New"/>
    <s v="In-Store"/>
    <s v="Cash"/>
    <s v="6"/>
    <x v="5"/>
    <x v="0"/>
    <n v="21040.686540879757"/>
  </r>
  <r>
    <s v="1406"/>
    <s v="West"/>
    <n v="21038.4384358155"/>
    <n v="0"/>
    <d v="2024-07-03T00:00:00"/>
    <x v="3"/>
    <n v="61"/>
    <s v="0"/>
    <s v="Returning"/>
    <s v="In-Store"/>
    <s v="Cash"/>
    <s v="9"/>
    <x v="0"/>
    <x v="9"/>
    <n v="21038.438435815497"/>
  </r>
  <r>
    <s v="1407"/>
    <s v="South"/>
    <n v="21357.894185976798"/>
    <n v="5"/>
    <d v="2024-09-03T00:00:00"/>
    <x v="39"/>
    <n v="63"/>
    <s v="0"/>
    <s v="Returning"/>
    <s v="Direct"/>
    <s v="Cash"/>
    <s v="8"/>
    <x v="3"/>
    <x v="11"/>
    <n v="20289.99947667796"/>
  </r>
  <r>
    <s v="1408"/>
    <s v="West"/>
    <n v="13616.257120898401"/>
    <n v="0"/>
    <d v="2024-01-20T00:00:00"/>
    <x v="64"/>
    <n v="52"/>
    <s v="0"/>
    <s v="New"/>
    <s v="Direct"/>
    <s v="Cash"/>
    <s v="7"/>
    <x v="2"/>
    <x v="18"/>
    <n v="13616.257120898401"/>
  </r>
  <r>
    <s v="1409"/>
    <s v="West"/>
    <n v="14594.717297958599"/>
    <n v="10"/>
    <d v="2024-04-22T00:00:00"/>
    <x v="5"/>
    <n v="88"/>
    <s v="1"/>
    <s v="New"/>
    <s v="Direct"/>
    <s v="Cash"/>
    <s v="10"/>
    <x v="1"/>
    <x v="3"/>
    <n v="13135.245568162738"/>
  </r>
  <r>
    <s v="1410"/>
    <s v="South"/>
    <n v="25265.764266664501"/>
    <n v="5"/>
    <d v="2023-10-30T00:00:00"/>
    <x v="75"/>
    <n v="25"/>
    <s v="0"/>
    <s v="Returning"/>
    <s v="Online"/>
    <s v="Bank Transfer"/>
    <s v="8"/>
    <x v="0"/>
    <x v="8"/>
    <n v="24002.476053331276"/>
  </r>
  <r>
    <s v="1411"/>
    <s v="East"/>
    <n v="19802.2242307167"/>
    <n v="10"/>
    <d v="2024-05-25T00:00:00"/>
    <x v="35"/>
    <n v="55"/>
    <s v="0"/>
    <s v="VIP"/>
    <s v="Direct"/>
    <s v="Credit Card"/>
    <s v="6"/>
    <x v="4"/>
    <x v="1"/>
    <n v="17822.001807645032"/>
  </r>
  <r>
    <s v="1412"/>
    <s v="West"/>
    <n v="23407.503486863101"/>
    <n v="10"/>
    <d v="2023-09-19T00:00:00"/>
    <x v="36"/>
    <n v="46"/>
    <s v="0"/>
    <s v="New"/>
    <s v="Online"/>
    <s v="Bank Transfer"/>
    <s v="9"/>
    <x v="4"/>
    <x v="19"/>
    <n v="21066.753138176791"/>
  </r>
  <r>
    <s v="1413"/>
    <s v="South"/>
    <n v="20141.5918806523"/>
    <n v="0"/>
    <d v="2023-10-30T00:00:00"/>
    <x v="89"/>
    <n v="32"/>
    <s v="0"/>
    <s v="Returning"/>
    <s v="In-Store"/>
    <s v="Bank Transfer"/>
    <s v="3"/>
    <x v="0"/>
    <x v="8"/>
    <n v="20141.5918806523"/>
  </r>
  <r>
    <s v="1414"/>
    <s v="North"/>
    <n v="20148.780697478702"/>
    <n v="0"/>
    <d v="2023-08-15T00:00:00"/>
    <x v="81"/>
    <n v="55"/>
    <s v="0"/>
    <s v="Returning"/>
    <s v="In-Store"/>
    <s v="Bank Transfer"/>
    <s v="10"/>
    <x v="0"/>
    <x v="17"/>
    <n v="20148.780697478702"/>
  </r>
  <r>
    <s v="1415"/>
    <s v="East"/>
    <n v="24691.4190298799"/>
    <n v="0"/>
    <d v="2024-03-09T00:00:00"/>
    <x v="36"/>
    <n v="96"/>
    <s v="0"/>
    <s v="VIP"/>
    <s v="Online"/>
    <s v="Bank Transfer"/>
    <s v="10"/>
    <x v="3"/>
    <x v="12"/>
    <n v="24691.4190298799"/>
  </r>
  <r>
    <s v="1416"/>
    <s v="North"/>
    <n v="17419.776358913099"/>
    <n v="5"/>
    <d v="2023-05-03T00:00:00"/>
    <x v="12"/>
    <n v="5"/>
    <s v="0"/>
    <s v="Returning"/>
    <s v="Direct"/>
    <s v="Credit Card"/>
    <s v="9"/>
    <x v="0"/>
    <x v="14"/>
    <n v="16548.787540967445"/>
  </r>
  <r>
    <s v="1417"/>
    <s v="North"/>
    <n v="20480.603884704899"/>
    <n v="15"/>
    <d v="2024-03-21T00:00:00"/>
    <x v="97"/>
    <n v="36"/>
    <s v="0"/>
    <s v="Returning"/>
    <s v="Online"/>
    <s v="Bank Transfer"/>
    <s v="4"/>
    <x v="0"/>
    <x v="12"/>
    <n v="17408.513301999163"/>
  </r>
  <r>
    <s v="1418"/>
    <s v="South"/>
    <n v="17688.6235564747"/>
    <n v="0"/>
    <d v="2023-06-22T00:00:00"/>
    <x v="68"/>
    <n v="49"/>
    <s v="0"/>
    <s v="New"/>
    <s v="In-Store"/>
    <s v="Cash"/>
    <s v="7"/>
    <x v="2"/>
    <x v="16"/>
    <n v="17688.6235564747"/>
  </r>
  <r>
    <s v="1419"/>
    <s v="West"/>
    <n v="17827.518862838398"/>
    <n v="0"/>
    <d v="2023-03-14T00:00:00"/>
    <x v="51"/>
    <n v="58"/>
    <s v="1"/>
    <s v="New"/>
    <s v="In-Store"/>
    <s v="Bank Transfer"/>
    <s v="9"/>
    <x v="4"/>
    <x v="10"/>
    <n v="17827.518862838398"/>
  </r>
  <r>
    <s v="1420"/>
    <s v="South"/>
    <n v="18454.139382656798"/>
    <n v="5"/>
    <d v="2024-07-26T00:00:00"/>
    <x v="4"/>
    <n v="39"/>
    <s v="0"/>
    <s v="VIP"/>
    <s v="Online"/>
    <s v="Bank Transfer"/>
    <s v="2"/>
    <x v="3"/>
    <x v="9"/>
    <n v="17531.432413523959"/>
  </r>
  <r>
    <s v="1421"/>
    <s v="South"/>
    <n v="21110.668858168501"/>
    <n v="0"/>
    <d v="2023-11-30T00:00:00"/>
    <x v="28"/>
    <n v="80"/>
    <s v="0"/>
    <s v="VIP"/>
    <s v="Direct"/>
    <s v="Credit Card"/>
    <s v="2"/>
    <x v="4"/>
    <x v="15"/>
    <n v="21110.668858168501"/>
  </r>
  <r>
    <s v="1422"/>
    <s v="South"/>
    <n v="17606.256891682599"/>
    <n v="5"/>
    <d v="2023-02-04T00:00:00"/>
    <x v="81"/>
    <n v="97"/>
    <s v="0"/>
    <s v="Returning"/>
    <s v="Direct"/>
    <s v="Credit Card"/>
    <s v="9"/>
    <x v="3"/>
    <x v="7"/>
    <n v="16725.94404709847"/>
  </r>
  <r>
    <s v="1423"/>
    <s v="South"/>
    <n v="26278.7806278676"/>
    <n v="10"/>
    <d v="2024-05-06T00:00:00"/>
    <x v="68"/>
    <n v="85"/>
    <s v="0"/>
    <s v="New"/>
    <s v="Online"/>
    <s v="Cash"/>
    <s v="3"/>
    <x v="4"/>
    <x v="1"/>
    <n v="23650.90256508084"/>
  </r>
  <r>
    <s v="1424"/>
    <s v="East"/>
    <n v="15526.9634889024"/>
    <n v="0"/>
    <d v="2023-02-10T00:00:00"/>
    <x v="75"/>
    <n v="61"/>
    <s v="0"/>
    <s v="VIP"/>
    <s v="Online"/>
    <s v="Bank Transfer"/>
    <s v="9"/>
    <x v="0"/>
    <x v="7"/>
    <n v="15526.9634889024"/>
  </r>
  <r>
    <s v="1425"/>
    <s v="West"/>
    <n v="19065.6417791932"/>
    <n v="0"/>
    <d v="2024-09-24T00:00:00"/>
    <x v="51"/>
    <n v="9"/>
    <s v="0"/>
    <s v="VIP"/>
    <s v="Direct"/>
    <s v="Bank Transfer"/>
    <s v="5"/>
    <x v="4"/>
    <x v="11"/>
    <n v="19065.6417791932"/>
  </r>
  <r>
    <s v="1426"/>
    <s v="North"/>
    <n v="0"/>
    <n v="10"/>
    <d v="2024-03-12T00:00:00"/>
    <x v="51"/>
    <n v="6"/>
    <s v="0"/>
    <s v="VIP"/>
    <s v="In-Store"/>
    <s v="Bank Transfer"/>
    <s v="6"/>
    <x v="4"/>
    <x v="12"/>
    <n v="0"/>
  </r>
  <r>
    <s v="1427"/>
    <s v="North"/>
    <n v="27234.889421768599"/>
    <n v="10"/>
    <d v="2023-06-23T00:00:00"/>
    <x v="19"/>
    <n v="35"/>
    <s v="0"/>
    <s v="Returning"/>
    <s v="Online"/>
    <s v="Cash"/>
    <s v="2"/>
    <x v="3"/>
    <x v="16"/>
    <n v="24511.400479591739"/>
  </r>
  <r>
    <s v="1428"/>
    <s v="West"/>
    <n v="20982.773882557802"/>
    <n v="10"/>
    <d v="2023-11-16T00:00:00"/>
    <x v="11"/>
    <n v="39"/>
    <s v="0"/>
    <s v="New"/>
    <s v="Direct"/>
    <s v="Credit Card"/>
    <s v="8"/>
    <x v="1"/>
    <x v="15"/>
    <n v="18884.49649430202"/>
  </r>
  <r>
    <s v="1429"/>
    <s v="North"/>
    <n v="25159.222697343099"/>
    <n v="0"/>
    <d v="2024-02-27T00:00:00"/>
    <x v="9"/>
    <n v="22"/>
    <s v="0"/>
    <s v="VIP"/>
    <s v="Direct"/>
    <s v="Cash"/>
    <s v="9"/>
    <x v="6"/>
    <x v="0"/>
    <n v="25159.222697343099"/>
  </r>
  <r>
    <s v="1430"/>
    <s v="West"/>
    <n v="0"/>
    <n v="15"/>
    <d v="2023-08-19T00:00:00"/>
    <x v="83"/>
    <n v="41"/>
    <s v="0"/>
    <s v="New"/>
    <s v="In-Store"/>
    <s v="Bank Transfer"/>
    <s v="2"/>
    <x v="3"/>
    <x v="17"/>
    <n v="0"/>
  </r>
  <r>
    <s v="1431"/>
    <s v="North"/>
    <n v="21335.2513293462"/>
    <n v="15"/>
    <d v="2023-04-03T00:00:00"/>
    <x v="81"/>
    <n v="5"/>
    <s v="0"/>
    <s v="VIP"/>
    <s v="In-Store"/>
    <s v="Credit Card"/>
    <s v="6"/>
    <x v="3"/>
    <x v="13"/>
    <n v="18134.963629944272"/>
  </r>
  <r>
    <s v="1432"/>
    <s v="nan"/>
    <n v="24448.153978117101"/>
    <n v="15"/>
    <d v="2024-08-24T00:00:00"/>
    <x v="20"/>
    <n v="42"/>
    <s v="0"/>
    <s v="VIP"/>
    <s v="In-Store"/>
    <s v="Credit Card"/>
    <s v="6"/>
    <x v="3"/>
    <x v="2"/>
    <n v="20780.930881399534"/>
  </r>
  <r>
    <s v="1433"/>
    <s v="North"/>
    <n v="20411.4199463771"/>
    <n v="0"/>
    <d v="2023-05-13T00:00:00"/>
    <x v="78"/>
    <n v="87"/>
    <s v="0"/>
    <s v="New"/>
    <s v="In-Store"/>
    <s v="Cash"/>
    <s v="8"/>
    <x v="5"/>
    <x v="14"/>
    <n v="20411.4199463771"/>
  </r>
  <r>
    <s v="1434"/>
    <s v="West"/>
    <n v="25327.401875326701"/>
    <n v="10"/>
    <d v="2023-07-02T00:00:00"/>
    <x v="15"/>
    <n v="81"/>
    <s v="0"/>
    <s v="New"/>
    <s v="In-Store"/>
    <s v="Credit Card"/>
    <s v="10"/>
    <x v="1"/>
    <x v="20"/>
    <n v="22794.661687794029"/>
  </r>
  <r>
    <s v="1435"/>
    <s v="West"/>
    <n v="17413.557749498101"/>
    <n v="0"/>
    <d v="2023-01-06T00:00:00"/>
    <x v="46"/>
    <n v="76"/>
    <s v="0"/>
    <s v="New"/>
    <s v="Online"/>
    <s v="Credit Card"/>
    <s v="5"/>
    <x v="5"/>
    <x v="4"/>
    <n v="17413.557749498101"/>
  </r>
  <r>
    <s v="1436"/>
    <s v="West"/>
    <n v="27046.737200927899"/>
    <n v="10"/>
    <d v="2024-04-16T00:00:00"/>
    <x v="94"/>
    <n v="87"/>
    <s v="0"/>
    <s v="Returning"/>
    <s v="Direct"/>
    <s v="Bank Transfer"/>
    <s v="9"/>
    <x v="5"/>
    <x v="3"/>
    <n v="24342.06348083511"/>
  </r>
  <r>
    <s v="1437"/>
    <s v="West"/>
    <n v="31494.490618096199"/>
    <n v="0"/>
    <d v="2023-04-29T00:00:00"/>
    <x v="32"/>
    <n v="80"/>
    <s v="0"/>
    <s v="VIP"/>
    <s v="Online"/>
    <s v="Bank Transfer"/>
    <s v="1"/>
    <x v="3"/>
    <x v="13"/>
    <n v="31494.490618096199"/>
  </r>
  <r>
    <s v="1438"/>
    <s v="West"/>
    <n v="18185.8071978017"/>
    <n v="0"/>
    <d v="2024-01-01T00:00:00"/>
    <x v="66"/>
    <n v="67"/>
    <s v="0"/>
    <s v="Returning"/>
    <s v="Online"/>
    <s v="Credit Card"/>
    <s v="9"/>
    <x v="6"/>
    <x v="18"/>
    <n v="18185.8071978017"/>
  </r>
  <r>
    <s v="1439"/>
    <s v="East"/>
    <n v="17772.4873929961"/>
    <n v="10"/>
    <d v="2024-01-16T00:00:00"/>
    <x v="2"/>
    <n v="30"/>
    <s v="0"/>
    <s v="New"/>
    <s v="Online"/>
    <s v="Credit Card"/>
    <s v="10"/>
    <x v="3"/>
    <x v="18"/>
    <n v="15995.23865369649"/>
  </r>
  <r>
    <s v="1440"/>
    <s v="East"/>
    <n v="27266.922385588499"/>
    <n v="15"/>
    <d v="2023-10-23T00:00:00"/>
    <x v="74"/>
    <n v="57"/>
    <s v="0"/>
    <s v="VIP"/>
    <s v="Online"/>
    <s v="Cash"/>
    <s v="7"/>
    <x v="0"/>
    <x v="8"/>
    <n v="23176.884027750228"/>
  </r>
  <r>
    <s v="1441"/>
    <s v="North"/>
    <n v="27897.860728653501"/>
    <n v="10"/>
    <d v="2023-03-26T00:00:00"/>
    <x v="20"/>
    <n v="86"/>
    <s v="0"/>
    <s v="Returning"/>
    <s v="Online"/>
    <s v="Cash"/>
    <s v="4"/>
    <x v="6"/>
    <x v="10"/>
    <n v="25108.07465578815"/>
  </r>
  <r>
    <s v="1442"/>
    <s v="West"/>
    <n v="17385.6998642336"/>
    <n v="5"/>
    <d v="2024-06-16T00:00:00"/>
    <x v="0"/>
    <n v="73"/>
    <s v="0"/>
    <s v="VIP"/>
    <s v="In-Store"/>
    <s v="Credit Card"/>
    <s v="3"/>
    <x v="5"/>
    <x v="5"/>
    <n v="16516.41487102192"/>
  </r>
  <r>
    <s v="1443"/>
    <s v="North"/>
    <n v="17899.065914520699"/>
    <n v="5"/>
    <d v="2024-05-31T00:00:00"/>
    <x v="28"/>
    <n v="29"/>
    <s v="0"/>
    <s v="Returning"/>
    <s v="In-Store"/>
    <s v="Bank Transfer"/>
    <s v="10"/>
    <x v="4"/>
    <x v="1"/>
    <n v="17004.112618794665"/>
  </r>
  <r>
    <s v="1444"/>
    <s v="West"/>
    <n v="18591.076955697401"/>
    <n v="10"/>
    <d v="2023-04-19T00:00:00"/>
    <x v="47"/>
    <n v="37"/>
    <s v="0"/>
    <s v="New"/>
    <s v="Direct"/>
    <s v="Credit Card"/>
    <s v="6"/>
    <x v="4"/>
    <x v="13"/>
    <n v="16731.969260127662"/>
  </r>
  <r>
    <s v="1445"/>
    <s v="West"/>
    <n v="13277.747444828599"/>
    <n v="0"/>
    <d v="2023-05-16T00:00:00"/>
    <x v="74"/>
    <n v="87"/>
    <s v="0"/>
    <s v="Returning"/>
    <s v="Online"/>
    <s v="Credit Card"/>
    <s v="1"/>
    <x v="1"/>
    <x v="14"/>
    <n v="13277.747444828599"/>
  </r>
  <r>
    <s v="1446"/>
    <s v="East"/>
    <n v="15406.740267579"/>
    <n v="5"/>
    <d v="2024-09-12T00:00:00"/>
    <x v="11"/>
    <n v="13"/>
    <s v="0"/>
    <s v="VIP"/>
    <s v="Direct"/>
    <s v="Bank Transfer"/>
    <s v="3"/>
    <x v="2"/>
    <x v="11"/>
    <n v="14636.40325420005"/>
  </r>
  <r>
    <s v="1447"/>
    <s v="East"/>
    <n v="14979.296166239599"/>
    <n v="5"/>
    <d v="2023-12-04T00:00:00"/>
    <x v="29"/>
    <n v="32"/>
    <s v="0"/>
    <s v="VIP"/>
    <s v="In-Store"/>
    <s v="Bank Transfer"/>
    <s v="2"/>
    <x v="1"/>
    <x v="6"/>
    <n v="14230.331357927618"/>
  </r>
  <r>
    <s v="1448"/>
    <s v="South"/>
    <n v="16161.0121744793"/>
    <n v="0"/>
    <d v="2024-06-10T00:00:00"/>
    <x v="34"/>
    <n v="46"/>
    <s v="0"/>
    <s v="VIP"/>
    <s v="In-Store"/>
    <s v="Cash"/>
    <s v="9"/>
    <x v="6"/>
    <x v="5"/>
    <n v="16161.0121744793"/>
  </r>
  <r>
    <s v="1449"/>
    <s v="East"/>
    <n v="19826.575563065999"/>
    <n v="0"/>
    <d v="2023-11-16T00:00:00"/>
    <x v="74"/>
    <n v="23"/>
    <s v="0"/>
    <s v="VIP"/>
    <s v="In-Store"/>
    <s v="Cash"/>
    <s v="3"/>
    <x v="5"/>
    <x v="15"/>
    <n v="19826.575563065999"/>
  </r>
  <r>
    <s v="1450"/>
    <s v="South"/>
    <n v="21171.0736626826"/>
    <n v="15"/>
    <d v="2023-12-31T00:00:00"/>
    <x v="34"/>
    <n v="45"/>
    <s v="0"/>
    <s v="New"/>
    <s v="Online"/>
    <s v="Cash"/>
    <s v="2"/>
    <x v="6"/>
    <x v="6"/>
    <n v="17995.412613280212"/>
  </r>
  <r>
    <s v="1451"/>
    <s v="South"/>
    <n v="27752.502464070301"/>
    <n v="0"/>
    <d v="2024-01-18T00:00:00"/>
    <x v="1"/>
    <n v="17"/>
    <s v="0"/>
    <s v="Returning"/>
    <s v="Online"/>
    <s v="Cash"/>
    <s v="4"/>
    <x v="6"/>
    <x v="18"/>
    <n v="27752.502464070301"/>
  </r>
  <r>
    <s v="1452"/>
    <s v="South"/>
    <n v="15008.229796305999"/>
    <n v="10"/>
    <d v="2023-01-17T00:00:00"/>
    <x v="44"/>
    <n v="85"/>
    <s v="0"/>
    <s v="New"/>
    <s v="In-Store"/>
    <s v="Bank Transfer"/>
    <s v="2"/>
    <x v="4"/>
    <x v="4"/>
    <n v="13507.4068166754"/>
  </r>
  <r>
    <s v="1453"/>
    <s v="South"/>
    <n v="24921.611992382899"/>
    <n v="10"/>
    <d v="2023-02-12T00:00:00"/>
    <x v="91"/>
    <n v="66"/>
    <s v="0"/>
    <s v="New"/>
    <s v="Direct"/>
    <s v="Credit Card"/>
    <s v="1"/>
    <x v="3"/>
    <x v="7"/>
    <n v="22429.45079314461"/>
  </r>
  <r>
    <s v="1454"/>
    <s v="South"/>
    <n v="18930.0557788724"/>
    <n v="15"/>
    <d v="2024-05-18T00:00:00"/>
    <x v="83"/>
    <n v="6"/>
    <s v="0"/>
    <s v="New"/>
    <s v="Direct"/>
    <s v="Cash"/>
    <s v="6"/>
    <x v="0"/>
    <x v="1"/>
    <n v="16090.54741204154"/>
  </r>
  <r>
    <s v="1455"/>
    <s v="North"/>
    <n v="19752.681451737801"/>
    <n v="5"/>
    <d v="2023-09-17T00:00:00"/>
    <x v="69"/>
    <n v="18"/>
    <s v="0"/>
    <s v="VIP"/>
    <s v="In-Store"/>
    <s v="Cash"/>
    <s v="10"/>
    <x v="2"/>
    <x v="19"/>
    <n v="18765.04737915091"/>
  </r>
  <r>
    <s v="1456"/>
    <s v="East"/>
    <n v="23374.097460833"/>
    <n v="5"/>
    <d v="2023-12-18T00:00:00"/>
    <x v="32"/>
    <n v="94"/>
    <s v="0"/>
    <s v="VIP"/>
    <s v="Direct"/>
    <s v="Bank Transfer"/>
    <s v="8"/>
    <x v="5"/>
    <x v="6"/>
    <n v="22205.39258779135"/>
  </r>
  <r>
    <s v="1457"/>
    <s v="South"/>
    <n v="14386.389892188499"/>
    <n v="0"/>
    <d v="2023-03-10T00:00:00"/>
    <x v="72"/>
    <n v="22"/>
    <s v="0"/>
    <s v="VIP"/>
    <s v="In-Store"/>
    <s v="Bank Transfer"/>
    <s v="10"/>
    <x v="6"/>
    <x v="10"/>
    <n v="14386.389892188499"/>
  </r>
  <r>
    <s v="1458"/>
    <s v="West"/>
    <n v="0"/>
    <n v="10"/>
    <d v="2023-02-16T00:00:00"/>
    <x v="77"/>
    <n v="33"/>
    <s v="0"/>
    <s v="Returning"/>
    <s v="Direct"/>
    <s v="Credit Card"/>
    <s v="10"/>
    <x v="2"/>
    <x v="7"/>
    <n v="0"/>
  </r>
  <r>
    <s v="1459"/>
    <s v="East"/>
    <n v="20832.261041065201"/>
    <n v="5"/>
    <d v="2024-01-04T00:00:00"/>
    <x v="14"/>
    <n v="30"/>
    <s v="0"/>
    <s v="VIP"/>
    <s v="In-Store"/>
    <s v="Credit Card"/>
    <s v="2"/>
    <x v="6"/>
    <x v="18"/>
    <n v="19790.647989011941"/>
  </r>
  <r>
    <s v="1460"/>
    <s v="East"/>
    <n v="22462.256320040698"/>
    <n v="15"/>
    <d v="2024-03-09T00:00:00"/>
    <x v="60"/>
    <n v="81"/>
    <s v="0"/>
    <s v="Returning"/>
    <s v="Direct"/>
    <s v="Bank Transfer"/>
    <s v="9"/>
    <x v="4"/>
    <x v="12"/>
    <n v="19092.917872034592"/>
  </r>
  <r>
    <s v="1461"/>
    <s v="South"/>
    <n v="21445.843219539001"/>
    <n v="15"/>
    <d v="2023-06-16T00:00:00"/>
    <x v="62"/>
    <n v="32"/>
    <s v="0"/>
    <s v="VIP"/>
    <s v="Online"/>
    <s v="Cash"/>
    <s v="3"/>
    <x v="0"/>
    <x v="16"/>
    <n v="18228.966736608152"/>
  </r>
  <r>
    <s v="1462"/>
    <s v="North"/>
    <n v="32276.500699554399"/>
    <n v="10"/>
    <d v="2023-08-23T00:00:00"/>
    <x v="80"/>
    <n v="42"/>
    <s v="0"/>
    <s v="VIP"/>
    <s v="In-Store"/>
    <s v="Cash"/>
    <s v="8"/>
    <x v="4"/>
    <x v="17"/>
    <n v="29048.850629598961"/>
  </r>
  <r>
    <s v="1463"/>
    <s v="South"/>
    <n v="16811.300078743399"/>
    <n v="15"/>
    <d v="2024-05-16T00:00:00"/>
    <x v="39"/>
    <n v="78"/>
    <s v="0"/>
    <s v="New"/>
    <s v="In-Store"/>
    <s v="Cash"/>
    <s v="8"/>
    <x v="2"/>
    <x v="1"/>
    <n v="14289.60506693189"/>
  </r>
  <r>
    <s v="1464"/>
    <s v="North"/>
    <n v="17345.015224990901"/>
    <n v="15"/>
    <d v="2024-06-25T00:00:00"/>
    <x v="23"/>
    <n v="10"/>
    <s v="0"/>
    <s v="New"/>
    <s v="Direct"/>
    <s v="Credit Card"/>
    <s v="3"/>
    <x v="5"/>
    <x v="5"/>
    <n v="14743.262941242265"/>
  </r>
  <r>
    <s v="1465"/>
    <s v="West"/>
    <n v="16884.297367876101"/>
    <n v="10"/>
    <d v="2024-07-08T00:00:00"/>
    <x v="93"/>
    <n v="36"/>
    <s v="0"/>
    <s v="New"/>
    <s v="In-Store"/>
    <s v="Cash"/>
    <s v="3"/>
    <x v="6"/>
    <x v="9"/>
    <n v="15195.867631088491"/>
  </r>
  <r>
    <s v="1466"/>
    <s v="East"/>
    <n v="17222.614404198699"/>
    <n v="0"/>
    <d v="2023-05-31T00:00:00"/>
    <x v="17"/>
    <n v="34"/>
    <s v="0"/>
    <s v="Returning"/>
    <s v="In-Store"/>
    <s v="Cash"/>
    <s v="6"/>
    <x v="0"/>
    <x v="14"/>
    <n v="17222.614404198699"/>
  </r>
  <r>
    <s v="1467"/>
    <s v="West"/>
    <n v="16813.064363467402"/>
    <n v="0"/>
    <d v="2024-04-08T00:00:00"/>
    <x v="77"/>
    <n v="73"/>
    <s v="1"/>
    <s v="Returning"/>
    <s v="In-Store"/>
    <s v="Bank Transfer"/>
    <s v="1"/>
    <x v="4"/>
    <x v="3"/>
    <n v="16813.064363467402"/>
  </r>
  <r>
    <s v="1468"/>
    <s v="North"/>
    <n v="25945.082655537699"/>
    <n v="15"/>
    <d v="2023-08-22T00:00:00"/>
    <x v="5"/>
    <n v="28"/>
    <s v="0"/>
    <s v="VIP"/>
    <s v="Online"/>
    <s v="Cash"/>
    <s v="4"/>
    <x v="2"/>
    <x v="17"/>
    <n v="22053.320257207044"/>
  </r>
  <r>
    <s v="1469"/>
    <s v="North"/>
    <n v="27102.521239949201"/>
    <n v="0"/>
    <d v="2023-07-02T00:00:00"/>
    <x v="85"/>
    <n v="11"/>
    <s v="1"/>
    <s v="Returning"/>
    <s v="Online"/>
    <s v="Bank Transfer"/>
    <s v="1"/>
    <x v="4"/>
    <x v="20"/>
    <n v="27102.521239949201"/>
  </r>
  <r>
    <s v="1470"/>
    <s v="West"/>
    <n v="17146.268531252601"/>
    <n v="0"/>
    <d v="2023-08-29T00:00:00"/>
    <x v="55"/>
    <n v="78"/>
    <s v="1"/>
    <s v="VIP"/>
    <s v="Direct"/>
    <s v="Cash"/>
    <s v="3"/>
    <x v="6"/>
    <x v="17"/>
    <n v="17146.268531252601"/>
  </r>
  <r>
    <s v="1471"/>
    <s v="North"/>
    <n v="15838.222134478799"/>
    <n v="15"/>
    <d v="2024-02-26T00:00:00"/>
    <x v="74"/>
    <n v="39"/>
    <s v="0"/>
    <s v="Returning"/>
    <s v="Online"/>
    <s v="Credit Card"/>
    <s v="9"/>
    <x v="6"/>
    <x v="0"/>
    <n v="13462.488814306978"/>
  </r>
  <r>
    <s v="1472"/>
    <s v="West"/>
    <n v="22357.077781931999"/>
    <n v="0"/>
    <d v="2024-06-13T00:00:00"/>
    <x v="73"/>
    <n v="47"/>
    <s v="0"/>
    <s v="Returning"/>
    <s v="Direct"/>
    <s v="Cash"/>
    <s v="5"/>
    <x v="5"/>
    <x v="5"/>
    <n v="22357.077781931999"/>
  </r>
  <r>
    <s v="1473"/>
    <s v="East"/>
    <n v="17238.8847785951"/>
    <n v="15"/>
    <d v="2024-07-31T00:00:00"/>
    <x v="70"/>
    <n v="19"/>
    <s v="0"/>
    <s v="Returning"/>
    <s v="Online"/>
    <s v="Cash"/>
    <s v="5"/>
    <x v="0"/>
    <x v="9"/>
    <n v="14653.052061805834"/>
  </r>
  <r>
    <s v="1474"/>
    <s v="West"/>
    <n v="23164.659088777498"/>
    <n v="5"/>
    <d v="2023-08-28T00:00:00"/>
    <x v="90"/>
    <n v="15"/>
    <s v="0"/>
    <s v="New"/>
    <s v="Direct"/>
    <s v="Bank Transfer"/>
    <s v="4"/>
    <x v="3"/>
    <x v="17"/>
    <n v="22006.426134338621"/>
  </r>
  <r>
    <s v="1475"/>
    <s v="East"/>
    <n v="21014.6151042565"/>
    <n v="10"/>
    <d v="2024-01-30T00:00:00"/>
    <x v="47"/>
    <n v="28"/>
    <s v="0"/>
    <s v="Returning"/>
    <s v="Online"/>
    <s v="Bank Transfer"/>
    <s v="3"/>
    <x v="4"/>
    <x v="18"/>
    <n v="18913.153593830852"/>
  </r>
  <r>
    <s v="1476"/>
    <s v="West"/>
    <n v="12421.279425013799"/>
    <n v="10"/>
    <d v="2024-02-21T00:00:00"/>
    <x v="58"/>
    <n v="24"/>
    <s v="0"/>
    <s v="New"/>
    <s v="Online"/>
    <s v="Bank Transfer"/>
    <s v="5"/>
    <x v="6"/>
    <x v="0"/>
    <n v="11179.15148251242"/>
  </r>
  <r>
    <s v="1477"/>
    <s v="North"/>
    <n v="27737.5260066503"/>
    <n v="0"/>
    <d v="2023-02-17T00:00:00"/>
    <x v="84"/>
    <n v="72"/>
    <s v="0"/>
    <s v="New"/>
    <s v="Direct"/>
    <s v="Cash"/>
    <s v="4"/>
    <x v="2"/>
    <x v="7"/>
    <n v="27737.5260066503"/>
  </r>
  <r>
    <s v="1478"/>
    <s v="West"/>
    <n v="28979.3883654776"/>
    <n v="0"/>
    <d v="2023-01-06T00:00:00"/>
    <x v="35"/>
    <n v="9"/>
    <s v="0"/>
    <s v="Returning"/>
    <s v="In-Store"/>
    <s v="Cash"/>
    <s v="8"/>
    <x v="4"/>
    <x v="4"/>
    <n v="28979.3883654776"/>
  </r>
  <r>
    <s v="1479"/>
    <s v="North"/>
    <n v="16936.056547577999"/>
    <n v="0"/>
    <d v="2023-05-05T00:00:00"/>
    <x v="31"/>
    <n v="47"/>
    <s v="0"/>
    <s v="VIP"/>
    <s v="In-Store"/>
    <s v="Credit Card"/>
    <s v="4"/>
    <x v="5"/>
    <x v="14"/>
    <n v="16936.056547577999"/>
  </r>
  <r>
    <s v="1480"/>
    <s v="West"/>
    <n v="18061.492200320001"/>
    <n v="10"/>
    <d v="2024-05-29T00:00:00"/>
    <x v="46"/>
    <n v="33"/>
    <s v="0"/>
    <s v="VIP"/>
    <s v="Online"/>
    <s v="Cash"/>
    <s v="8"/>
    <x v="5"/>
    <x v="1"/>
    <n v="16255.342980288002"/>
  </r>
  <r>
    <s v="1481"/>
    <s v="West"/>
    <n v="21429.326953624499"/>
    <n v="5"/>
    <d v="2024-05-20T00:00:00"/>
    <x v="15"/>
    <n v="62"/>
    <s v="0"/>
    <s v="VIP"/>
    <s v="Direct"/>
    <s v="Credit Card"/>
    <s v="6"/>
    <x v="6"/>
    <x v="1"/>
    <n v="20357.860605943271"/>
  </r>
  <r>
    <s v="1482"/>
    <s v="South"/>
    <n v="21672.283949935099"/>
    <n v="5"/>
    <d v="2024-07-23T00:00:00"/>
    <x v="49"/>
    <n v="97"/>
    <s v="0"/>
    <s v="Returning"/>
    <s v="In-Store"/>
    <s v="Bank Transfer"/>
    <s v="5"/>
    <x v="6"/>
    <x v="9"/>
    <n v="20588.669752438345"/>
  </r>
  <r>
    <s v="1483"/>
    <s v="North"/>
    <n v="0"/>
    <n v="10"/>
    <d v="2024-02-06T00:00:00"/>
    <x v="40"/>
    <n v="19"/>
    <s v="0"/>
    <s v="VIP"/>
    <s v="Direct"/>
    <s v="Bank Transfer"/>
    <s v="4"/>
    <x v="6"/>
    <x v="0"/>
    <n v="0"/>
  </r>
  <r>
    <s v="1484"/>
    <s v="nan"/>
    <n v="30051.022693831699"/>
    <n v="5"/>
    <d v="2023-07-04T00:00:00"/>
    <x v="83"/>
    <n v="67"/>
    <s v="1"/>
    <s v="New"/>
    <s v="In-Store"/>
    <s v="Bank Transfer"/>
    <s v="4"/>
    <x v="1"/>
    <x v="20"/>
    <n v="28548.471559140115"/>
  </r>
  <r>
    <s v="1485"/>
    <s v="North"/>
    <n v="19115.2638625297"/>
    <n v="10"/>
    <d v="2024-09-29T00:00:00"/>
    <x v="94"/>
    <n v="74"/>
    <s v="0"/>
    <s v="VIP"/>
    <s v="Direct"/>
    <s v="Credit Card"/>
    <s v="4"/>
    <x v="3"/>
    <x v="11"/>
    <n v="17203.737476276729"/>
  </r>
  <r>
    <s v="1486"/>
    <s v="South"/>
    <n v="16008.5137773077"/>
    <n v="5"/>
    <d v="2023-02-08T00:00:00"/>
    <x v="81"/>
    <n v="40"/>
    <s v="0"/>
    <s v="Returning"/>
    <s v="Online"/>
    <s v="Cash"/>
    <s v="9"/>
    <x v="6"/>
    <x v="7"/>
    <n v="15208.088088442315"/>
  </r>
  <r>
    <s v="1487"/>
    <s v="East"/>
    <n v="13103.403859927301"/>
    <n v="15"/>
    <d v="2024-08-20T00:00:00"/>
    <x v="49"/>
    <n v="47"/>
    <s v="0"/>
    <s v="VIP"/>
    <s v="Direct"/>
    <s v="Bank Transfer"/>
    <s v="4"/>
    <x v="4"/>
    <x v="2"/>
    <n v="11137.893280938204"/>
  </r>
  <r>
    <s v="1488"/>
    <s v="West"/>
    <n v="16345.3498002904"/>
    <n v="15"/>
    <d v="2023-09-05T00:00:00"/>
    <x v="76"/>
    <n v="65"/>
    <s v="0"/>
    <s v="New"/>
    <s v="In-Store"/>
    <s v="Cash"/>
    <s v="9"/>
    <x v="4"/>
    <x v="19"/>
    <n v="13893.54733024684"/>
  </r>
  <r>
    <s v="1489"/>
    <s v="North"/>
    <n v="19834.365135631"/>
    <n v="10"/>
    <d v="2024-06-24T00:00:00"/>
    <x v="61"/>
    <n v="29"/>
    <s v="0"/>
    <s v="Returning"/>
    <s v="Online"/>
    <s v="Cash"/>
    <s v="10"/>
    <x v="1"/>
    <x v="5"/>
    <n v="17850.928622067902"/>
  </r>
  <r>
    <s v="1490"/>
    <s v="North"/>
    <n v="28972.7893175889"/>
    <n v="5"/>
    <d v="2024-06-05T00:00:00"/>
    <x v="38"/>
    <n v="50"/>
    <s v="0"/>
    <s v="VIP"/>
    <s v="Direct"/>
    <s v="Bank Transfer"/>
    <s v="6"/>
    <x v="1"/>
    <x v="5"/>
    <n v="27524.149851709455"/>
  </r>
  <r>
    <s v="1491"/>
    <s v="West"/>
    <n v="0"/>
    <n v="0"/>
    <d v="2024-07-28T00:00:00"/>
    <x v="10"/>
    <n v="98"/>
    <s v="0"/>
    <s v="Returning"/>
    <s v="In-Store"/>
    <s v="Credit Card"/>
    <s v="10"/>
    <x v="0"/>
    <x v="9"/>
    <n v="0"/>
  </r>
  <r>
    <s v="1492"/>
    <s v="North"/>
    <n v="21118.939758194399"/>
    <n v="5"/>
    <d v="2023-12-25T00:00:00"/>
    <x v="70"/>
    <n v="13"/>
    <s v="0"/>
    <s v="Returning"/>
    <s v="Online"/>
    <s v="Cash"/>
    <s v="7"/>
    <x v="2"/>
    <x v="6"/>
    <n v="20062.99277028468"/>
  </r>
  <r>
    <s v="1493"/>
    <s v="North"/>
    <n v="19917.885519636198"/>
    <n v="15"/>
    <d v="2023-12-26T00:00:00"/>
    <x v="1"/>
    <n v="1"/>
    <s v="1"/>
    <s v="Returning"/>
    <s v="Direct"/>
    <s v="Bank Transfer"/>
    <s v="10"/>
    <x v="6"/>
    <x v="6"/>
    <n v="16930.202691690767"/>
  </r>
  <r>
    <s v="1494"/>
    <s v="South"/>
    <n v="25941.966367240399"/>
    <n v="15"/>
    <d v="2024-02-09T00:00:00"/>
    <x v="71"/>
    <n v="34"/>
    <s v="0"/>
    <s v="VIP"/>
    <s v="In-Store"/>
    <s v="Cash"/>
    <s v="3"/>
    <x v="4"/>
    <x v="0"/>
    <n v="22050.671412154337"/>
  </r>
  <r>
    <s v="1495"/>
    <s v="North"/>
    <n v="32634.662129368098"/>
    <n v="5"/>
    <d v="2024-03-08T00:00:00"/>
    <x v="2"/>
    <n v="93"/>
    <s v="0"/>
    <s v="Returning"/>
    <s v="Direct"/>
    <s v="Cash"/>
    <s v="8"/>
    <x v="1"/>
    <x v="12"/>
    <n v="31002.929022899694"/>
  </r>
  <r>
    <s v="1496"/>
    <s v="East"/>
    <n v="17345.656135398302"/>
    <n v="5"/>
    <d v="2023-01-05T00:00:00"/>
    <x v="86"/>
    <n v="48"/>
    <s v="0"/>
    <s v="VIP"/>
    <s v="Direct"/>
    <s v="Cash"/>
    <s v="3"/>
    <x v="4"/>
    <x v="4"/>
    <n v="16478.373328628386"/>
  </r>
  <r>
    <s v="1497"/>
    <s v="East"/>
    <n v="17552.8027874088"/>
    <n v="0"/>
    <d v="2023-08-24T00:00:00"/>
    <x v="50"/>
    <n v="77"/>
    <s v="0"/>
    <s v="New"/>
    <s v="Online"/>
    <s v="Cash"/>
    <s v="1"/>
    <x v="4"/>
    <x v="17"/>
    <n v="17552.8027874088"/>
  </r>
  <r>
    <s v="1498"/>
    <s v="West"/>
    <n v="25220.804385345298"/>
    <n v="0"/>
    <d v="2023-01-29T00:00:00"/>
    <x v="89"/>
    <n v="48"/>
    <s v="0"/>
    <s v="VIP"/>
    <s v="Online"/>
    <s v="Cash"/>
    <s v="10"/>
    <x v="1"/>
    <x v="4"/>
    <n v="25220.804385345298"/>
  </r>
  <r>
    <s v="1499"/>
    <s v="North"/>
    <n v="23409.457448131499"/>
    <n v="5"/>
    <d v="2023-08-08T00:00:00"/>
    <x v="91"/>
    <n v="49"/>
    <s v="0"/>
    <s v="New"/>
    <s v="In-Store"/>
    <s v="Credit Card"/>
    <s v="5"/>
    <x v="3"/>
    <x v="17"/>
    <n v="22238.984575724924"/>
  </r>
  <r>
    <s v="1500"/>
    <s v="West"/>
    <n v="29233.5366286801"/>
    <n v="5"/>
    <d v="2024-04-27T00:00:00"/>
    <x v="67"/>
    <n v="64"/>
    <s v="0"/>
    <s v="VIP"/>
    <s v="Online"/>
    <s v="Credit Card"/>
    <s v="2"/>
    <x v="1"/>
    <x v="3"/>
    <n v="27771.859797246092"/>
  </r>
  <r>
    <s v="1501"/>
    <s v="East"/>
    <n v="22919.6409266298"/>
    <n v="5"/>
    <d v="2024-05-22T00:00:00"/>
    <x v="69"/>
    <n v="61"/>
    <s v="1"/>
    <s v="Returning"/>
    <s v="In-Store"/>
    <s v="Bank Transfer"/>
    <s v="10"/>
    <x v="1"/>
    <x v="1"/>
    <n v="21773.65888029831"/>
  </r>
  <r>
    <s v="1502"/>
    <s v="North"/>
    <n v="18203.539546064701"/>
    <n v="5"/>
    <d v="2023-08-27T00:00:00"/>
    <x v="46"/>
    <n v="29"/>
    <s v="0"/>
    <s v="VIP"/>
    <s v="Direct"/>
    <s v="Credit Card"/>
    <s v="6"/>
    <x v="2"/>
    <x v="17"/>
    <n v="17293.362568761466"/>
  </r>
  <r>
    <s v="1503"/>
    <s v="North"/>
    <n v="22953.274153461502"/>
    <n v="10"/>
    <d v="2024-01-30T00:00:00"/>
    <x v="25"/>
    <n v="39"/>
    <s v="0"/>
    <s v="Returning"/>
    <s v="Direct"/>
    <s v="Credit Card"/>
    <s v="10"/>
    <x v="1"/>
    <x v="18"/>
    <n v="20657.946738115352"/>
  </r>
  <r>
    <s v="1504"/>
    <s v="West"/>
    <n v="25543.5179029145"/>
    <n v="5"/>
    <d v="2023-01-17T00:00:00"/>
    <x v="85"/>
    <n v="88"/>
    <s v="0"/>
    <s v="New"/>
    <s v="In-Store"/>
    <s v="Credit Card"/>
    <s v="9"/>
    <x v="5"/>
    <x v="4"/>
    <n v="24266.342007768773"/>
  </r>
  <r>
    <s v="1505"/>
    <s v="East"/>
    <n v="24102.410905986799"/>
    <n v="0"/>
    <d v="2023-05-03T00:00:00"/>
    <x v="15"/>
    <n v="26"/>
    <s v="0"/>
    <s v="VIP"/>
    <s v="Direct"/>
    <s v="Cash"/>
    <s v="1"/>
    <x v="1"/>
    <x v="14"/>
    <n v="24102.410905986802"/>
  </r>
  <r>
    <s v="1506"/>
    <s v="North"/>
    <n v="22536.370155536399"/>
    <n v="15"/>
    <d v="2024-08-16T00:00:00"/>
    <x v="27"/>
    <n v="17"/>
    <s v="0"/>
    <s v="Returning"/>
    <s v="Online"/>
    <s v="Cash"/>
    <s v="4"/>
    <x v="4"/>
    <x v="2"/>
    <n v="19155.914632205939"/>
  </r>
  <r>
    <s v="1507"/>
    <s v="West"/>
    <n v="25333.373447945702"/>
    <n v="10"/>
    <d v="2024-06-25T00:00:00"/>
    <x v="87"/>
    <n v="71"/>
    <s v="0"/>
    <s v="New"/>
    <s v="Direct"/>
    <s v="Bank Transfer"/>
    <s v="1"/>
    <x v="6"/>
    <x v="5"/>
    <n v="22800.036103151135"/>
  </r>
  <r>
    <s v="1508"/>
    <s v="East"/>
    <n v="25846.477952228299"/>
    <n v="5"/>
    <d v="2023-08-16T00:00:00"/>
    <x v="43"/>
    <n v="13"/>
    <s v="0"/>
    <s v="New"/>
    <s v="Online"/>
    <s v="Bank Transfer"/>
    <s v="1"/>
    <x v="4"/>
    <x v="17"/>
    <n v="24554.154054616884"/>
  </r>
  <r>
    <s v="1509"/>
    <s v="West"/>
    <n v="26910.794955187601"/>
    <n v="15"/>
    <d v="2023-02-08T00:00:00"/>
    <x v="79"/>
    <n v="69"/>
    <s v="0"/>
    <s v="VIP"/>
    <s v="In-Store"/>
    <s v="Bank Transfer"/>
    <s v="8"/>
    <x v="2"/>
    <x v="7"/>
    <n v="22874.175711909462"/>
  </r>
  <r>
    <s v="1510"/>
    <s v="South"/>
    <n v="23243.549437948201"/>
    <n v="10"/>
    <d v="2023-02-08T00:00:00"/>
    <x v="22"/>
    <n v="26"/>
    <s v="0"/>
    <s v="New"/>
    <s v="In-Store"/>
    <s v="Cash"/>
    <s v="2"/>
    <x v="5"/>
    <x v="7"/>
    <n v="20919.19449415338"/>
  </r>
  <r>
    <s v="1511"/>
    <s v="North"/>
    <n v="19164.409598415699"/>
    <n v="15"/>
    <d v="2023-09-26T00:00:00"/>
    <x v="59"/>
    <n v="49"/>
    <s v="0"/>
    <s v="Returning"/>
    <s v="Direct"/>
    <s v="Credit Card"/>
    <s v="1"/>
    <x v="1"/>
    <x v="19"/>
    <n v="16289.748158653343"/>
  </r>
  <r>
    <s v="1512"/>
    <s v="South"/>
    <n v="20733.568432166601"/>
    <n v="5"/>
    <d v="2024-05-21T00:00:00"/>
    <x v="55"/>
    <n v="67"/>
    <s v="0"/>
    <s v="New"/>
    <s v="Direct"/>
    <s v="Credit Card"/>
    <s v="8"/>
    <x v="3"/>
    <x v="1"/>
    <n v="19696.890010558272"/>
  </r>
  <r>
    <s v="1513"/>
    <s v="East"/>
    <n v="26032.544832541698"/>
    <n v="5"/>
    <d v="2024-02-08T00:00:00"/>
    <x v="33"/>
    <n v="7"/>
    <s v="0"/>
    <s v="New"/>
    <s v="Online"/>
    <s v="Cash"/>
    <s v="4"/>
    <x v="0"/>
    <x v="0"/>
    <n v="24730.917590914614"/>
  </r>
  <r>
    <s v="1514"/>
    <s v="South"/>
    <n v="15915.321645063799"/>
    <n v="0"/>
    <d v="2024-05-20T00:00:00"/>
    <x v="0"/>
    <n v="58"/>
    <s v="0"/>
    <s v="Returning"/>
    <s v="Online"/>
    <s v="Bank Transfer"/>
    <s v="3"/>
    <x v="1"/>
    <x v="1"/>
    <n v="15915.321645063799"/>
  </r>
  <r>
    <s v="1515"/>
    <s v="South"/>
    <n v="21843.3665443645"/>
    <n v="5"/>
    <d v="2023-12-18T00:00:00"/>
    <x v="34"/>
    <n v="49"/>
    <s v="0"/>
    <s v="New"/>
    <s v="Direct"/>
    <s v="Bank Transfer"/>
    <s v="4"/>
    <x v="6"/>
    <x v="6"/>
    <n v="20751.198217146277"/>
  </r>
  <r>
    <s v="1516"/>
    <s v="East"/>
    <n v="18033.305938363101"/>
    <n v="5"/>
    <d v="2023-08-31T00:00:00"/>
    <x v="24"/>
    <n v="53"/>
    <s v="0"/>
    <s v="New"/>
    <s v="Direct"/>
    <s v="Bank Transfer"/>
    <s v="5"/>
    <x v="0"/>
    <x v="17"/>
    <n v="17131.640641444945"/>
  </r>
  <r>
    <s v="1517"/>
    <s v="West"/>
    <n v="20143.724114674002"/>
    <n v="10"/>
    <d v="2023-06-26T00:00:00"/>
    <x v="66"/>
    <n v="65"/>
    <s v="0"/>
    <s v="New"/>
    <s v="In-Store"/>
    <s v="Cash"/>
    <s v="1"/>
    <x v="3"/>
    <x v="16"/>
    <n v="18129.351703206601"/>
  </r>
  <r>
    <s v="1518"/>
    <s v="South"/>
    <n v="26392.2593130364"/>
    <n v="0"/>
    <d v="2024-01-22T00:00:00"/>
    <x v="81"/>
    <n v="62"/>
    <s v="0"/>
    <s v="New"/>
    <s v="In-Store"/>
    <s v="Bank Transfer"/>
    <s v="1"/>
    <x v="2"/>
    <x v="18"/>
    <n v="26392.2593130364"/>
  </r>
  <r>
    <s v="1519"/>
    <s v="West"/>
    <n v="20955.4953400995"/>
    <n v="10"/>
    <d v="2023-10-02T00:00:00"/>
    <x v="79"/>
    <n v="17"/>
    <s v="0"/>
    <s v="Returning"/>
    <s v="In-Store"/>
    <s v="Bank Transfer"/>
    <s v="3"/>
    <x v="2"/>
    <x v="8"/>
    <n v="18859.945806089552"/>
  </r>
  <r>
    <s v="1520"/>
    <s v="South"/>
    <n v="20232.1827407807"/>
    <n v="15"/>
    <d v="2023-03-14T00:00:00"/>
    <x v="52"/>
    <n v="43"/>
    <s v="0"/>
    <s v="New"/>
    <s v="Direct"/>
    <s v="Cash"/>
    <s v="6"/>
    <x v="3"/>
    <x v="10"/>
    <n v="17197.355329663595"/>
  </r>
  <r>
    <s v="1521"/>
    <s v="West"/>
    <n v="13200.7192951004"/>
    <n v="5"/>
    <d v="2024-03-14T00:00:00"/>
    <x v="80"/>
    <n v="25"/>
    <s v="0"/>
    <s v="Returning"/>
    <s v="Direct"/>
    <s v="Credit Card"/>
    <s v="1"/>
    <x v="4"/>
    <x v="12"/>
    <n v="12540.68333034538"/>
  </r>
  <r>
    <s v="1522"/>
    <s v="East"/>
    <n v="23731.267830136101"/>
    <n v="15"/>
    <d v="2023-03-18T00:00:00"/>
    <x v="49"/>
    <n v="3"/>
    <s v="0"/>
    <s v="New"/>
    <s v="Direct"/>
    <s v="Cash"/>
    <s v="2"/>
    <x v="3"/>
    <x v="10"/>
    <n v="20171.577655615685"/>
  </r>
  <r>
    <s v="1523"/>
    <s v="South"/>
    <n v="23227.420905705301"/>
    <n v="10"/>
    <d v="2023-12-01T00:00:00"/>
    <x v="56"/>
    <n v="79"/>
    <s v="0"/>
    <s v="New"/>
    <s v="In-Store"/>
    <s v="Cash"/>
    <s v="7"/>
    <x v="1"/>
    <x v="6"/>
    <n v="20904.678815134772"/>
  </r>
  <r>
    <s v="1524"/>
    <s v="East"/>
    <n v="30816.273616527302"/>
    <n v="5"/>
    <d v="2024-09-28T00:00:00"/>
    <x v="30"/>
    <n v="29"/>
    <s v="0"/>
    <s v="New"/>
    <s v="Direct"/>
    <s v="Cash"/>
    <s v="1"/>
    <x v="6"/>
    <x v="11"/>
    <n v="29275.459935700936"/>
  </r>
  <r>
    <s v="1525"/>
    <s v="South"/>
    <n v="18461.1088252349"/>
    <n v="5"/>
    <d v="2024-07-27T00:00:00"/>
    <x v="11"/>
    <n v="32"/>
    <s v="0"/>
    <s v="New"/>
    <s v="Online"/>
    <s v="Cash"/>
    <s v="7"/>
    <x v="5"/>
    <x v="9"/>
    <n v="17538.053383973154"/>
  </r>
  <r>
    <s v="1526"/>
    <s v="East"/>
    <n v="21095.751638319602"/>
    <n v="10"/>
    <d v="2023-09-23T00:00:00"/>
    <x v="97"/>
    <n v="26"/>
    <s v="0"/>
    <s v="Returning"/>
    <s v="Direct"/>
    <s v="Credit Card"/>
    <s v="4"/>
    <x v="1"/>
    <x v="19"/>
    <n v="18986.176474487642"/>
  </r>
  <r>
    <s v="1527"/>
    <s v="East"/>
    <n v="21246.918418553701"/>
    <n v="10"/>
    <d v="2023-04-14T00:00:00"/>
    <x v="10"/>
    <n v="16"/>
    <s v="1"/>
    <s v="Returning"/>
    <s v="Direct"/>
    <s v="Bank Transfer"/>
    <s v="10"/>
    <x v="1"/>
    <x v="13"/>
    <n v="19122.226576698333"/>
  </r>
  <r>
    <s v="1528"/>
    <s v="South"/>
    <n v="27887.266398817301"/>
    <n v="10"/>
    <d v="2024-05-16T00:00:00"/>
    <x v="65"/>
    <n v="25"/>
    <s v="0"/>
    <s v="Returning"/>
    <s v="Direct"/>
    <s v="Cash"/>
    <s v="6"/>
    <x v="1"/>
    <x v="1"/>
    <n v="25098.539758935571"/>
  </r>
  <r>
    <s v="1529"/>
    <s v="South"/>
    <n v="19523.522338065199"/>
    <n v="10"/>
    <d v="2024-08-03T00:00:00"/>
    <x v="9"/>
    <n v="54"/>
    <s v="0"/>
    <s v="VIP"/>
    <s v="Direct"/>
    <s v="Credit Card"/>
    <s v="8"/>
    <x v="0"/>
    <x v="2"/>
    <n v="17571.170104258679"/>
  </r>
  <r>
    <s v="1530"/>
    <s v="South"/>
    <n v="21395.107628851601"/>
    <n v="10"/>
    <d v="2024-03-14T00:00:00"/>
    <x v="38"/>
    <n v="28"/>
    <s v="0"/>
    <s v="New"/>
    <s v="Direct"/>
    <s v="Bank Transfer"/>
    <s v="9"/>
    <x v="0"/>
    <x v="12"/>
    <n v="19255.59686596644"/>
  </r>
  <r>
    <s v="1531"/>
    <s v="North"/>
    <n v="23039.4825485826"/>
    <n v="5"/>
    <d v="2024-09-18T00:00:00"/>
    <x v="30"/>
    <n v="73"/>
    <s v="0"/>
    <s v="New"/>
    <s v="Online"/>
    <s v="Bank Transfer"/>
    <s v="6"/>
    <x v="2"/>
    <x v="11"/>
    <n v="21887.508421153474"/>
  </r>
  <r>
    <s v="1532"/>
    <s v="West"/>
    <n v="20933.045615781699"/>
    <n v="10"/>
    <d v="2023-08-03T00:00:00"/>
    <x v="26"/>
    <n v="56"/>
    <s v="0"/>
    <s v="Returning"/>
    <s v="Online"/>
    <s v="Bank Transfer"/>
    <s v="9"/>
    <x v="1"/>
    <x v="17"/>
    <n v="18839.741054203529"/>
  </r>
  <r>
    <s v="1533"/>
    <s v="North"/>
    <n v="17767.831927247302"/>
    <n v="5"/>
    <d v="2023-08-30T00:00:00"/>
    <x v="28"/>
    <n v="65"/>
    <s v="0"/>
    <s v="VIP"/>
    <s v="Direct"/>
    <s v="Cash"/>
    <s v="4"/>
    <x v="4"/>
    <x v="17"/>
    <n v="16879.440330884936"/>
  </r>
  <r>
    <s v="1534"/>
    <s v="North"/>
    <n v="20970.449964491501"/>
    <n v="5"/>
    <d v="2023-07-26T00:00:00"/>
    <x v="98"/>
    <n v="93"/>
    <s v="0"/>
    <s v="New"/>
    <s v="In-Store"/>
    <s v="Cash"/>
    <s v="6"/>
    <x v="2"/>
    <x v="20"/>
    <n v="19921.927466266927"/>
  </r>
  <r>
    <s v="1535"/>
    <s v="East"/>
    <n v="25368.1587492988"/>
    <n v="10"/>
    <d v="2023-04-20T00:00:00"/>
    <x v="46"/>
    <n v="86"/>
    <s v="0"/>
    <s v="Returning"/>
    <s v="Direct"/>
    <s v="Bank Transfer"/>
    <s v="8"/>
    <x v="6"/>
    <x v="13"/>
    <n v="22831.342874368918"/>
  </r>
  <r>
    <s v="1536"/>
    <s v="South"/>
    <n v="14867.423502944601"/>
    <n v="10"/>
    <d v="2024-09-30T00:00:00"/>
    <x v="19"/>
    <n v="80"/>
    <s v="0"/>
    <s v="New"/>
    <s v="Direct"/>
    <s v="Bank Transfer"/>
    <s v="9"/>
    <x v="3"/>
    <x v="11"/>
    <n v="13380.681152650141"/>
  </r>
  <r>
    <s v="1537"/>
    <s v="West"/>
    <n v="20664.8483707343"/>
    <n v="0"/>
    <d v="2024-05-16T00:00:00"/>
    <x v="59"/>
    <n v="41"/>
    <s v="0"/>
    <s v="New"/>
    <s v="Direct"/>
    <s v="Bank Transfer"/>
    <s v="3"/>
    <x v="0"/>
    <x v="1"/>
    <n v="20664.8483707343"/>
  </r>
  <r>
    <s v="1538"/>
    <s v="East"/>
    <n v="16499.395925304099"/>
    <n v="5"/>
    <d v="2023-02-10T00:00:00"/>
    <x v="41"/>
    <n v="51"/>
    <s v="0"/>
    <s v="Returning"/>
    <s v="In-Store"/>
    <s v="Bank Transfer"/>
    <s v="2"/>
    <x v="1"/>
    <x v="7"/>
    <n v="15674.426129038895"/>
  </r>
  <r>
    <s v="1539"/>
    <s v="North"/>
    <n v="25975.233144624199"/>
    <n v="10"/>
    <d v="2023-03-05T00:00:00"/>
    <x v="75"/>
    <n v="71"/>
    <s v="0"/>
    <s v="Returning"/>
    <s v="In-Store"/>
    <s v="Bank Transfer"/>
    <s v="6"/>
    <x v="6"/>
    <x v="10"/>
    <n v="23377.709830161781"/>
  </r>
  <r>
    <s v="1540"/>
    <s v="South"/>
    <n v="12384.065476081099"/>
    <n v="10"/>
    <d v="2023-07-25T00:00:00"/>
    <x v="45"/>
    <n v="78"/>
    <s v="1"/>
    <s v="New"/>
    <s v="In-Store"/>
    <s v="Bank Transfer"/>
    <s v="4"/>
    <x v="2"/>
    <x v="20"/>
    <n v="11145.658928472989"/>
  </r>
  <r>
    <s v="1541"/>
    <s v="East"/>
    <n v="17205.390763642001"/>
    <n v="10"/>
    <d v="2024-09-14T00:00:00"/>
    <x v="99"/>
    <n v="29"/>
    <s v="0"/>
    <s v="New"/>
    <s v="Online"/>
    <s v="Credit Card"/>
    <s v="1"/>
    <x v="2"/>
    <x v="11"/>
    <n v="15484.8516872778"/>
  </r>
  <r>
    <s v="1542"/>
    <s v="South"/>
    <n v="21886.059375322598"/>
    <n v="0"/>
    <d v="2023-02-11T00:00:00"/>
    <x v="32"/>
    <n v="83"/>
    <s v="0"/>
    <s v="Returning"/>
    <s v="In-Store"/>
    <s v="Bank Transfer"/>
    <s v="8"/>
    <x v="0"/>
    <x v="7"/>
    <n v="21886.059375322602"/>
  </r>
  <r>
    <s v="1543"/>
    <s v="East"/>
    <n v="27827.620146171699"/>
    <n v="0"/>
    <d v="2024-06-21T00:00:00"/>
    <x v="62"/>
    <n v="19"/>
    <s v="0"/>
    <s v="New"/>
    <s v="Online"/>
    <s v="Cash"/>
    <s v="9"/>
    <x v="2"/>
    <x v="5"/>
    <n v="27827.620146171699"/>
  </r>
  <r>
    <s v="1544"/>
    <s v="South"/>
    <n v="19671.248694635"/>
    <n v="15"/>
    <d v="2023-12-22T00:00:00"/>
    <x v="48"/>
    <n v="66"/>
    <s v="0"/>
    <s v="New"/>
    <s v="Online"/>
    <s v="Cash"/>
    <s v="9"/>
    <x v="4"/>
    <x v="6"/>
    <n v="16720.561390439751"/>
  </r>
  <r>
    <s v="1545"/>
    <s v="North"/>
    <n v="17224.002366534001"/>
    <n v="5"/>
    <d v="2024-01-17T00:00:00"/>
    <x v="72"/>
    <n v="41"/>
    <s v="0"/>
    <s v="Returning"/>
    <s v="In-Store"/>
    <s v="Cash"/>
    <s v="2"/>
    <x v="2"/>
    <x v="18"/>
    <n v="16362.802248207301"/>
  </r>
  <r>
    <s v="1546"/>
    <s v="West"/>
    <n v="29405.785347202898"/>
    <n v="15"/>
    <d v="2023-10-19T00:00:00"/>
    <x v="21"/>
    <n v="45"/>
    <s v="0"/>
    <s v="New"/>
    <s v="In-Store"/>
    <s v="Bank Transfer"/>
    <s v="9"/>
    <x v="5"/>
    <x v="8"/>
    <n v="24994.917545122462"/>
  </r>
  <r>
    <s v="1547"/>
    <s v="North"/>
    <n v="0"/>
    <n v="10"/>
    <d v="2024-01-05T00:00:00"/>
    <x v="29"/>
    <n v="15"/>
    <s v="0"/>
    <s v="New"/>
    <s v="In-Store"/>
    <s v="Cash"/>
    <s v="7"/>
    <x v="3"/>
    <x v="18"/>
    <n v="0"/>
  </r>
  <r>
    <s v="1548"/>
    <s v="West"/>
    <n v="9005.97021689959"/>
    <n v="0"/>
    <d v="2023-10-16T00:00:00"/>
    <x v="11"/>
    <n v="3"/>
    <s v="0"/>
    <s v="VIP"/>
    <s v="Online"/>
    <s v="Credit Card"/>
    <s v="5"/>
    <x v="2"/>
    <x v="8"/>
    <n v="9005.97021689959"/>
  </r>
  <r>
    <s v="1549"/>
    <s v="South"/>
    <n v="22200.072250266599"/>
    <n v="0"/>
    <d v="2023-06-14T00:00:00"/>
    <x v="41"/>
    <n v="11"/>
    <s v="0"/>
    <s v="Returning"/>
    <s v="Direct"/>
    <s v="Bank Transfer"/>
    <s v="7"/>
    <x v="5"/>
    <x v="16"/>
    <n v="22200.072250266603"/>
  </r>
  <r>
    <s v="1550"/>
    <s v="East"/>
    <n v="17489.7288782369"/>
    <n v="15"/>
    <d v="2024-08-18T00:00:00"/>
    <x v="73"/>
    <n v="53"/>
    <s v="1"/>
    <s v="VIP"/>
    <s v="In-Store"/>
    <s v="Cash"/>
    <s v="9"/>
    <x v="6"/>
    <x v="2"/>
    <n v="14866.269546501364"/>
  </r>
  <r>
    <s v="1551"/>
    <s v="North"/>
    <n v="14893.8359143464"/>
    <n v="0"/>
    <d v="2024-04-02T00:00:00"/>
    <x v="33"/>
    <n v="46"/>
    <s v="0"/>
    <s v="VIP"/>
    <s v="In-Store"/>
    <s v="Credit Card"/>
    <s v="8"/>
    <x v="2"/>
    <x v="3"/>
    <n v="14893.8359143464"/>
  </r>
  <r>
    <s v="1552"/>
    <s v="West"/>
    <n v="23541.7822364967"/>
    <n v="10"/>
    <d v="2023-09-29T00:00:00"/>
    <x v="28"/>
    <n v="30"/>
    <s v="0"/>
    <s v="VIP"/>
    <s v="In-Store"/>
    <s v="Credit Card"/>
    <s v="6"/>
    <x v="4"/>
    <x v="19"/>
    <n v="21187.60401284703"/>
  </r>
  <r>
    <s v="1553"/>
    <s v="North"/>
    <n v="21219.0035688559"/>
    <n v="0"/>
    <d v="2024-09-16T00:00:00"/>
    <x v="52"/>
    <n v="57"/>
    <s v="0"/>
    <s v="New"/>
    <s v="Online"/>
    <s v="Cash"/>
    <s v="4"/>
    <x v="6"/>
    <x v="11"/>
    <n v="21219.0035688559"/>
  </r>
  <r>
    <s v="1554"/>
    <s v="West"/>
    <n v="17179.606846316299"/>
    <n v="15"/>
    <d v="2024-08-20T00:00:00"/>
    <x v="48"/>
    <n v="18"/>
    <s v="0"/>
    <s v="New"/>
    <s v="Online"/>
    <s v="Credit Card"/>
    <s v="1"/>
    <x v="1"/>
    <x v="2"/>
    <n v="14602.665819368854"/>
  </r>
  <r>
    <s v="1555"/>
    <s v="North"/>
    <n v="13598.4780066455"/>
    <n v="10"/>
    <d v="2023-04-24T00:00:00"/>
    <x v="44"/>
    <n v="51"/>
    <s v="0"/>
    <s v="VIP"/>
    <s v="Direct"/>
    <s v="Cash"/>
    <s v="6"/>
    <x v="2"/>
    <x v="13"/>
    <n v="12238.630205980951"/>
  </r>
  <r>
    <s v="1556"/>
    <s v="West"/>
    <n v="24362.2866414007"/>
    <n v="15"/>
    <d v="2024-08-16T00:00:00"/>
    <x v="53"/>
    <n v="48"/>
    <s v="0"/>
    <s v="VIP"/>
    <s v="In-Store"/>
    <s v="Credit Card"/>
    <s v="3"/>
    <x v="0"/>
    <x v="2"/>
    <n v="20707.943645190593"/>
  </r>
  <r>
    <s v="1557"/>
    <s v="West"/>
    <n v="23251.005889793301"/>
    <n v="0"/>
    <d v="2023-06-28T00:00:00"/>
    <x v="63"/>
    <n v="66"/>
    <s v="1"/>
    <s v="VIP"/>
    <s v="Online"/>
    <s v="Bank Transfer"/>
    <s v="6"/>
    <x v="5"/>
    <x v="16"/>
    <n v="23251.005889793298"/>
  </r>
  <r>
    <s v="1558"/>
    <s v="nan"/>
    <n v="19504.120681102999"/>
    <n v="15"/>
    <d v="2023-08-08T00:00:00"/>
    <x v="29"/>
    <n v="96"/>
    <s v="0"/>
    <s v="New"/>
    <s v="Direct"/>
    <s v="Bank Transfer"/>
    <s v="6"/>
    <x v="5"/>
    <x v="17"/>
    <n v="16578.50257893755"/>
  </r>
  <r>
    <s v="1559"/>
    <s v="West"/>
    <n v="29233.1849802383"/>
    <n v="15"/>
    <d v="2023-01-11T00:00:00"/>
    <x v="8"/>
    <n v="8"/>
    <s v="0"/>
    <s v="VIP"/>
    <s v="In-Store"/>
    <s v="Bank Transfer"/>
    <s v="4"/>
    <x v="0"/>
    <x v="4"/>
    <n v="24848.207233202556"/>
  </r>
  <r>
    <s v="1560"/>
    <s v="South"/>
    <n v="14649.5761683692"/>
    <n v="5"/>
    <d v="2023-07-08T00:00:00"/>
    <x v="97"/>
    <n v="22"/>
    <s v="0"/>
    <s v="VIP"/>
    <s v="Online"/>
    <s v="Bank Transfer"/>
    <s v="2"/>
    <x v="3"/>
    <x v="20"/>
    <n v="13917.09735995074"/>
  </r>
  <r>
    <s v="1561"/>
    <s v="West"/>
    <n v="12372.3741453763"/>
    <n v="0"/>
    <d v="2023-05-09T00:00:00"/>
    <x v="97"/>
    <n v="6"/>
    <s v="1"/>
    <s v="Returning"/>
    <s v="In-Store"/>
    <s v="Bank Transfer"/>
    <s v="9"/>
    <x v="1"/>
    <x v="14"/>
    <n v="12372.3741453763"/>
  </r>
  <r>
    <s v="1562"/>
    <s v="East"/>
    <n v="16540.459650593701"/>
    <n v="0"/>
    <d v="2024-09-05T00:00:00"/>
    <x v="40"/>
    <n v="76"/>
    <s v="0"/>
    <s v="Returning"/>
    <s v="In-Store"/>
    <s v="Cash"/>
    <s v="2"/>
    <x v="4"/>
    <x v="11"/>
    <n v="16540.459650593701"/>
  </r>
  <r>
    <s v="1563"/>
    <s v="East"/>
    <n v="0"/>
    <n v="15"/>
    <d v="2024-03-12T00:00:00"/>
    <x v="26"/>
    <n v="57"/>
    <s v="0"/>
    <s v="New"/>
    <s v="Online"/>
    <s v="Bank Transfer"/>
    <s v="3"/>
    <x v="5"/>
    <x v="12"/>
    <n v="0"/>
  </r>
  <r>
    <s v="1564"/>
    <s v="East"/>
    <n v="21216.697246613399"/>
    <n v="5"/>
    <d v="2024-08-09T00:00:00"/>
    <x v="88"/>
    <n v="36"/>
    <s v="0"/>
    <s v="Returning"/>
    <s v="Online"/>
    <s v="Bank Transfer"/>
    <s v="10"/>
    <x v="6"/>
    <x v="2"/>
    <n v="20155.862384282729"/>
  </r>
  <r>
    <s v="1565"/>
    <s v="West"/>
    <n v="18793.8197107183"/>
    <n v="0"/>
    <d v="2024-05-08T00:00:00"/>
    <x v="28"/>
    <n v="79"/>
    <s v="0"/>
    <s v="Returning"/>
    <s v="Online"/>
    <s v="Bank Transfer"/>
    <s v="1"/>
    <x v="4"/>
    <x v="1"/>
    <n v="18793.8197107183"/>
  </r>
  <r>
    <s v="1566"/>
    <s v="South"/>
    <n v="21760.276982571399"/>
    <n v="10"/>
    <d v="2023-05-04T00:00:00"/>
    <x v="7"/>
    <n v="92"/>
    <s v="0"/>
    <s v="Returning"/>
    <s v="In-Store"/>
    <s v="Bank Transfer"/>
    <s v="7"/>
    <x v="5"/>
    <x v="14"/>
    <n v="19584.249284314261"/>
  </r>
  <r>
    <s v="1567"/>
    <s v="South"/>
    <n v="13742.3028790477"/>
    <n v="15"/>
    <d v="2023-04-05T00:00:00"/>
    <x v="55"/>
    <n v="57"/>
    <s v="0"/>
    <s v="New"/>
    <s v="In-Store"/>
    <s v="Credit Card"/>
    <s v="1"/>
    <x v="1"/>
    <x v="13"/>
    <n v="11680.957447190545"/>
  </r>
  <r>
    <s v="1568"/>
    <s v="West"/>
    <n v="27218.823020366199"/>
    <n v="0"/>
    <d v="2023-08-27T00:00:00"/>
    <x v="27"/>
    <n v="49"/>
    <s v="0"/>
    <s v="Returning"/>
    <s v="Direct"/>
    <s v="Bank Transfer"/>
    <s v="9"/>
    <x v="3"/>
    <x v="17"/>
    <n v="27218.823020366199"/>
  </r>
  <r>
    <s v="1569"/>
    <s v="East"/>
    <n v="19589.244108037099"/>
    <n v="10"/>
    <d v="2024-07-20T00:00:00"/>
    <x v="3"/>
    <n v="45"/>
    <s v="0"/>
    <s v="New"/>
    <s v="In-Store"/>
    <s v="Bank Transfer"/>
    <s v="1"/>
    <x v="1"/>
    <x v="9"/>
    <n v="17630.31969723339"/>
  </r>
  <r>
    <s v="1570"/>
    <s v="East"/>
    <n v="25586.479157940601"/>
    <n v="0"/>
    <d v="2023-01-22T00:00:00"/>
    <x v="48"/>
    <n v="82"/>
    <s v="0"/>
    <s v="VIP"/>
    <s v="Online"/>
    <s v="Cash"/>
    <s v="5"/>
    <x v="6"/>
    <x v="4"/>
    <n v="25586.479157940601"/>
  </r>
  <r>
    <s v="1571"/>
    <s v="South"/>
    <n v="21713.6267318885"/>
    <n v="10"/>
    <d v="2023-08-24T00:00:00"/>
    <x v="50"/>
    <n v="66"/>
    <s v="0"/>
    <s v="Returning"/>
    <s v="In-Store"/>
    <s v="Credit Card"/>
    <s v="7"/>
    <x v="1"/>
    <x v="17"/>
    <n v="19542.264058699649"/>
  </r>
  <r>
    <s v="1572"/>
    <s v="East"/>
    <n v="22283.7660957689"/>
    <n v="15"/>
    <d v="2023-01-18T00:00:00"/>
    <x v="94"/>
    <n v="77"/>
    <s v="0"/>
    <s v="New"/>
    <s v="Direct"/>
    <s v="Cash"/>
    <s v="3"/>
    <x v="4"/>
    <x v="4"/>
    <n v="18941.201181403565"/>
  </r>
  <r>
    <s v="1573"/>
    <s v="North"/>
    <n v="22848.836401160999"/>
    <n v="0"/>
    <d v="2024-05-09T00:00:00"/>
    <x v="3"/>
    <n v="45"/>
    <s v="0"/>
    <s v="Returning"/>
    <s v="Direct"/>
    <s v="Bank Transfer"/>
    <s v="9"/>
    <x v="6"/>
    <x v="1"/>
    <n v="22848.836401160996"/>
  </r>
  <r>
    <s v="1574"/>
    <s v="South"/>
    <n v="0"/>
    <n v="0"/>
    <d v="2023-05-21T00:00:00"/>
    <x v="96"/>
    <n v="79"/>
    <s v="0"/>
    <s v="VIP"/>
    <s v="Online"/>
    <s v="Cash"/>
    <s v="8"/>
    <x v="0"/>
    <x v="14"/>
    <n v="0"/>
  </r>
  <r>
    <s v="1575"/>
    <s v="East"/>
    <n v="0"/>
    <n v="5"/>
    <d v="2023-02-03T00:00:00"/>
    <x v="11"/>
    <n v="20"/>
    <s v="0"/>
    <s v="New"/>
    <s v="Online"/>
    <s v="Cash"/>
    <s v="3"/>
    <x v="2"/>
    <x v="7"/>
    <n v="0"/>
  </r>
  <r>
    <s v="1576"/>
    <s v="South"/>
    <n v="26645.762650662102"/>
    <n v="15"/>
    <d v="2024-08-18T00:00:00"/>
    <x v="49"/>
    <n v="64"/>
    <s v="0"/>
    <s v="New"/>
    <s v="Direct"/>
    <s v="Bank Transfer"/>
    <s v="5"/>
    <x v="0"/>
    <x v="2"/>
    <n v="22648.898253062787"/>
  </r>
  <r>
    <s v="1577"/>
    <s v="North"/>
    <n v="20982.605848507301"/>
    <n v="10"/>
    <d v="2024-05-19T00:00:00"/>
    <x v="11"/>
    <n v="93"/>
    <s v="0"/>
    <s v="New"/>
    <s v="Direct"/>
    <s v="Credit Card"/>
    <s v="7"/>
    <x v="4"/>
    <x v="1"/>
    <n v="18884.345263656571"/>
  </r>
  <r>
    <s v="1578"/>
    <s v="South"/>
    <n v="23545.018787942499"/>
    <n v="0"/>
    <d v="2023-08-13T00:00:00"/>
    <x v="80"/>
    <n v="93"/>
    <s v="1"/>
    <s v="VIP"/>
    <s v="Direct"/>
    <s v="Credit Card"/>
    <s v="4"/>
    <x v="2"/>
    <x v="17"/>
    <n v="23545.018787942499"/>
  </r>
  <r>
    <s v="1579"/>
    <s v="South"/>
    <n v="19551.3215285638"/>
    <n v="0"/>
    <d v="2023-09-07T00:00:00"/>
    <x v="83"/>
    <n v="67"/>
    <s v="0"/>
    <s v="VIP"/>
    <s v="Online"/>
    <s v="Cash"/>
    <s v="5"/>
    <x v="0"/>
    <x v="19"/>
    <n v="19551.3215285638"/>
  </r>
  <r>
    <s v="1580"/>
    <s v="South"/>
    <n v="27200.586077247299"/>
    <n v="10"/>
    <d v="2023-02-17T00:00:00"/>
    <x v="57"/>
    <n v="83"/>
    <s v="0"/>
    <s v="VIP"/>
    <s v="Direct"/>
    <s v="Bank Transfer"/>
    <s v="3"/>
    <x v="2"/>
    <x v="7"/>
    <n v="24480.527469522571"/>
  </r>
  <r>
    <s v="1581"/>
    <s v="South"/>
    <n v="16618.038489703598"/>
    <n v="15"/>
    <d v="2023-11-11T00:00:00"/>
    <x v="68"/>
    <n v="3"/>
    <s v="0"/>
    <s v="New"/>
    <s v="Direct"/>
    <s v="Cash"/>
    <s v="9"/>
    <x v="5"/>
    <x v="15"/>
    <n v="14125.332716248058"/>
  </r>
  <r>
    <s v="1582"/>
    <s v="North"/>
    <n v="29004.702164554001"/>
    <n v="5"/>
    <d v="2024-03-14T00:00:00"/>
    <x v="24"/>
    <n v="54"/>
    <s v="0"/>
    <s v="VIP"/>
    <s v="Online"/>
    <s v="Cash"/>
    <s v="10"/>
    <x v="1"/>
    <x v="12"/>
    <n v="27554.467056326303"/>
  </r>
  <r>
    <s v="1583"/>
    <s v="West"/>
    <n v="19799.210246778199"/>
    <n v="5"/>
    <d v="2023-11-29T00:00:00"/>
    <x v="63"/>
    <n v="78"/>
    <s v="0"/>
    <s v="Returning"/>
    <s v="In-Store"/>
    <s v="Cash"/>
    <s v="9"/>
    <x v="6"/>
    <x v="15"/>
    <n v="18809.24973443929"/>
  </r>
  <r>
    <s v="1584"/>
    <s v="South"/>
    <n v="12846.1244894097"/>
    <n v="0"/>
    <d v="2024-09-14T00:00:00"/>
    <x v="67"/>
    <n v="64"/>
    <s v="0"/>
    <s v="VIP"/>
    <s v="In-Store"/>
    <s v="Bank Transfer"/>
    <s v="7"/>
    <x v="2"/>
    <x v="11"/>
    <n v="12846.1244894097"/>
  </r>
  <r>
    <s v="1585"/>
    <s v="South"/>
    <n v="20640.522074553901"/>
    <n v="10"/>
    <d v="2023-03-16T00:00:00"/>
    <x v="61"/>
    <n v="40"/>
    <s v="0"/>
    <s v="New"/>
    <s v="Direct"/>
    <s v="Bank Transfer"/>
    <s v="10"/>
    <x v="5"/>
    <x v="10"/>
    <n v="18576.469867098509"/>
  </r>
  <r>
    <s v="1586"/>
    <s v="East"/>
    <n v="16594.741712625499"/>
    <n v="0"/>
    <d v="2023-06-28T00:00:00"/>
    <x v="23"/>
    <n v="59"/>
    <s v="0"/>
    <s v="Returning"/>
    <s v="In-Store"/>
    <s v="Credit Card"/>
    <s v="2"/>
    <x v="1"/>
    <x v="16"/>
    <n v="16594.741712625499"/>
  </r>
  <r>
    <s v="1587"/>
    <s v="South"/>
    <n v="0"/>
    <n v="10"/>
    <d v="2024-04-10T00:00:00"/>
    <x v="9"/>
    <n v="55"/>
    <s v="0"/>
    <s v="VIP"/>
    <s v="In-Store"/>
    <s v="Bank Transfer"/>
    <s v="7"/>
    <x v="1"/>
    <x v="3"/>
    <n v="0"/>
  </r>
  <r>
    <s v="1588"/>
    <s v="East"/>
    <n v="16736.880103488002"/>
    <n v="5"/>
    <d v="2023-04-22T00:00:00"/>
    <x v="91"/>
    <n v="62"/>
    <s v="0"/>
    <s v="Returning"/>
    <s v="In-Store"/>
    <s v="Cash"/>
    <s v="7"/>
    <x v="3"/>
    <x v="13"/>
    <n v="15900.036098313602"/>
  </r>
  <r>
    <s v="1589"/>
    <s v="West"/>
    <n v="17769.082833926099"/>
    <n v="15"/>
    <d v="2024-04-20T00:00:00"/>
    <x v="18"/>
    <n v="4"/>
    <s v="0"/>
    <s v="Returning"/>
    <s v="In-Store"/>
    <s v="Cash"/>
    <s v="5"/>
    <x v="0"/>
    <x v="3"/>
    <n v="15103.720408837184"/>
  </r>
  <r>
    <s v="1590"/>
    <s v="North"/>
    <n v="10552.2963452723"/>
    <n v="10"/>
    <d v="2024-08-28T00:00:00"/>
    <x v="80"/>
    <n v="60"/>
    <s v="0"/>
    <s v="New"/>
    <s v="Direct"/>
    <s v="Credit Card"/>
    <s v="9"/>
    <x v="3"/>
    <x v="2"/>
    <n v="9497.0667107450699"/>
  </r>
  <r>
    <s v="1591"/>
    <s v="North"/>
    <n v="17738.468403754599"/>
    <n v="5"/>
    <d v="2024-05-02T00:00:00"/>
    <x v="46"/>
    <n v="75"/>
    <s v="0"/>
    <s v="Returning"/>
    <s v="In-Store"/>
    <s v="Bank Transfer"/>
    <s v="3"/>
    <x v="4"/>
    <x v="1"/>
    <n v="16851.54498356687"/>
  </r>
  <r>
    <s v="1592"/>
    <s v="West"/>
    <n v="7880.60336685521"/>
    <n v="0"/>
    <d v="2023-07-07T00:00:00"/>
    <x v="36"/>
    <n v="95"/>
    <s v="1"/>
    <s v="Returning"/>
    <s v="In-Store"/>
    <s v="Cash"/>
    <s v="4"/>
    <x v="5"/>
    <x v="20"/>
    <n v="7880.6033668552091"/>
  </r>
  <r>
    <s v="1593"/>
    <s v="North"/>
    <n v="12080.4858825713"/>
    <n v="10"/>
    <d v="2023-10-15T00:00:00"/>
    <x v="81"/>
    <n v="96"/>
    <s v="0"/>
    <s v="New"/>
    <s v="Online"/>
    <s v="Credit Card"/>
    <s v="1"/>
    <x v="3"/>
    <x v="8"/>
    <n v="10872.437294314172"/>
  </r>
  <r>
    <s v="1594"/>
    <s v="West"/>
    <n v="23802.073280721401"/>
    <n v="15"/>
    <d v="2024-06-15T00:00:00"/>
    <x v="24"/>
    <n v="91"/>
    <s v="0"/>
    <s v="New"/>
    <s v="Direct"/>
    <s v="Credit Card"/>
    <s v="6"/>
    <x v="3"/>
    <x v="5"/>
    <n v="20231.76228861319"/>
  </r>
  <r>
    <s v="1595"/>
    <s v="West"/>
    <n v="23929.000793254101"/>
    <n v="0"/>
    <d v="2023-11-27T00:00:00"/>
    <x v="25"/>
    <n v="30"/>
    <s v="0"/>
    <s v="New"/>
    <s v="Online"/>
    <s v="Cash"/>
    <s v="4"/>
    <x v="1"/>
    <x v="15"/>
    <n v="23929.000793254101"/>
  </r>
  <r>
    <s v="1596"/>
    <s v="West"/>
    <n v="0"/>
    <n v="0"/>
    <d v="2023-01-13T00:00:00"/>
    <x v="15"/>
    <n v="2"/>
    <s v="0"/>
    <s v="Returning"/>
    <s v="Online"/>
    <s v="Cash"/>
    <s v="1"/>
    <x v="5"/>
    <x v="4"/>
    <n v="0"/>
  </r>
  <r>
    <s v="1597"/>
    <s v="North"/>
    <n v="15165.119284353899"/>
    <n v="5"/>
    <d v="2023-02-15T00:00:00"/>
    <x v="82"/>
    <n v="62"/>
    <s v="0"/>
    <s v="Returning"/>
    <s v="Direct"/>
    <s v="Bank Transfer"/>
    <s v="2"/>
    <x v="1"/>
    <x v="7"/>
    <n v="14406.863320136204"/>
  </r>
  <r>
    <s v="1598"/>
    <s v="East"/>
    <n v="19761.4432192901"/>
    <n v="10"/>
    <d v="2024-06-21T00:00:00"/>
    <x v="54"/>
    <n v="49"/>
    <s v="0"/>
    <s v="Returning"/>
    <s v="In-Store"/>
    <s v="Credit Card"/>
    <s v="3"/>
    <x v="6"/>
    <x v="5"/>
    <n v="17785.298897361088"/>
  </r>
  <r>
    <s v="1599"/>
    <s v="West"/>
    <n v="19981.987304547099"/>
    <n v="0"/>
    <d v="2023-01-23T00:00:00"/>
    <x v="50"/>
    <n v="9"/>
    <s v="0"/>
    <s v="New"/>
    <s v="Online"/>
    <s v="Cash"/>
    <s v="9"/>
    <x v="2"/>
    <x v="4"/>
    <n v="19981.987304547099"/>
  </r>
  <r>
    <s v="1600"/>
    <s v="South"/>
    <n v="14208.1765540372"/>
    <n v="15"/>
    <d v="2023-11-20T00:00:00"/>
    <x v="64"/>
    <n v="92"/>
    <s v="0"/>
    <s v="VIP"/>
    <s v="Direct"/>
    <s v="Credit Card"/>
    <s v="8"/>
    <x v="4"/>
    <x v="15"/>
    <n v="12076.95007093162"/>
  </r>
  <r>
    <s v="1601"/>
    <s v="North"/>
    <n v="27516.991508835701"/>
    <n v="10"/>
    <d v="2024-07-27T00:00:00"/>
    <x v="55"/>
    <n v="31"/>
    <s v="0"/>
    <s v="Returning"/>
    <s v="In-Store"/>
    <s v="Bank Transfer"/>
    <s v="7"/>
    <x v="4"/>
    <x v="9"/>
    <n v="24765.29235795213"/>
  </r>
  <r>
    <s v="1602"/>
    <s v="West"/>
    <n v="24386.811452878301"/>
    <n v="15"/>
    <d v="2023-05-29T00:00:00"/>
    <x v="65"/>
    <n v="98"/>
    <s v="0"/>
    <s v="VIP"/>
    <s v="Direct"/>
    <s v="Cash"/>
    <s v="4"/>
    <x v="0"/>
    <x v="14"/>
    <n v="20728.789734946553"/>
  </r>
  <r>
    <s v="1603"/>
    <s v="nan"/>
    <n v="18895.1791308516"/>
    <n v="0"/>
    <d v="2024-04-09T00:00:00"/>
    <x v="79"/>
    <n v="61"/>
    <s v="0"/>
    <s v="New"/>
    <s v="Online"/>
    <s v="Bank Transfer"/>
    <s v="1"/>
    <x v="1"/>
    <x v="3"/>
    <n v="18895.1791308516"/>
  </r>
  <r>
    <s v="1604"/>
    <s v="South"/>
    <n v="20134.429194972599"/>
    <n v="15"/>
    <d v="2024-09-18T00:00:00"/>
    <x v="29"/>
    <n v="79"/>
    <s v="0"/>
    <s v="Returning"/>
    <s v="In-Store"/>
    <s v="Credit Card"/>
    <s v="8"/>
    <x v="2"/>
    <x v="11"/>
    <n v="17114.26481572671"/>
  </r>
  <r>
    <s v="1605"/>
    <s v="East"/>
    <n v="21041.914039737701"/>
    <n v="5"/>
    <d v="2023-11-13T00:00:00"/>
    <x v="55"/>
    <n v="48"/>
    <s v="1"/>
    <s v="VIP"/>
    <s v="In-Store"/>
    <s v="Bank Transfer"/>
    <s v="4"/>
    <x v="0"/>
    <x v="15"/>
    <n v="19989.818337750818"/>
  </r>
  <r>
    <s v="1606"/>
    <s v="East"/>
    <n v="9791.3256578785404"/>
    <n v="15"/>
    <d v="2023-05-11T00:00:00"/>
    <x v="23"/>
    <n v="25"/>
    <s v="0"/>
    <s v="Returning"/>
    <s v="Direct"/>
    <s v="Bank Transfer"/>
    <s v="3"/>
    <x v="4"/>
    <x v="14"/>
    <n v="8322.6268091967595"/>
  </r>
  <r>
    <s v="1607"/>
    <s v="East"/>
    <n v="18764.113087397"/>
    <n v="10"/>
    <d v="2023-09-29T00:00:00"/>
    <x v="23"/>
    <n v="36"/>
    <s v="0"/>
    <s v="Returning"/>
    <s v="In-Store"/>
    <s v="Credit Card"/>
    <s v="9"/>
    <x v="2"/>
    <x v="19"/>
    <n v="16887.701778657298"/>
  </r>
  <r>
    <s v="1608"/>
    <s v="West"/>
    <n v="16590.078760011002"/>
    <n v="15"/>
    <d v="2024-08-23T00:00:00"/>
    <x v="0"/>
    <n v="8"/>
    <s v="0"/>
    <s v="Returning"/>
    <s v="Online"/>
    <s v="Bank Transfer"/>
    <s v="10"/>
    <x v="3"/>
    <x v="2"/>
    <n v="14101.56694600935"/>
  </r>
  <r>
    <s v="1609"/>
    <s v="West"/>
    <n v="14991.8999505254"/>
    <n v="15"/>
    <d v="2023-01-28T00:00:00"/>
    <x v="80"/>
    <n v="73"/>
    <s v="1"/>
    <s v="VIP"/>
    <s v="Online"/>
    <s v="Credit Card"/>
    <s v="4"/>
    <x v="6"/>
    <x v="4"/>
    <n v="12743.114957946591"/>
  </r>
  <r>
    <s v="1610"/>
    <s v="West"/>
    <n v="0"/>
    <n v="5"/>
    <d v="2023-02-27T00:00:00"/>
    <x v="29"/>
    <n v="58"/>
    <s v="0"/>
    <s v="New"/>
    <s v="Online"/>
    <s v="Cash"/>
    <s v="4"/>
    <x v="3"/>
    <x v="7"/>
    <n v="0"/>
  </r>
  <r>
    <s v="1611"/>
    <s v="North"/>
    <n v="28988.432634247602"/>
    <n v="15"/>
    <d v="2024-08-15T00:00:00"/>
    <x v="3"/>
    <n v="45"/>
    <s v="0"/>
    <s v="Returning"/>
    <s v="Direct"/>
    <s v="Credit Card"/>
    <s v="9"/>
    <x v="6"/>
    <x v="2"/>
    <n v="24640.167739110464"/>
  </r>
  <r>
    <s v="1612"/>
    <s v="South"/>
    <n v="23204.214306335001"/>
    <n v="15"/>
    <d v="2024-06-12T00:00:00"/>
    <x v="11"/>
    <n v="62"/>
    <s v="0"/>
    <s v="New"/>
    <s v="In-Store"/>
    <s v="Credit Card"/>
    <s v="2"/>
    <x v="1"/>
    <x v="5"/>
    <n v="19723.582160384751"/>
  </r>
  <r>
    <s v="1613"/>
    <s v="West"/>
    <n v="17144.105051086"/>
    <n v="0"/>
    <d v="2023-10-27T00:00:00"/>
    <x v="1"/>
    <n v="39"/>
    <s v="0"/>
    <s v="New"/>
    <s v="In-Store"/>
    <s v="Cash"/>
    <s v="5"/>
    <x v="5"/>
    <x v="8"/>
    <n v="17144.105051086"/>
  </r>
  <r>
    <s v="1614"/>
    <s v="South"/>
    <n v="22862.913906780701"/>
    <n v="0"/>
    <d v="2024-01-21T00:00:00"/>
    <x v="10"/>
    <n v="96"/>
    <s v="0"/>
    <s v="VIP"/>
    <s v="In-Store"/>
    <s v="Credit Card"/>
    <s v="4"/>
    <x v="0"/>
    <x v="18"/>
    <n v="22862.913906780701"/>
  </r>
  <r>
    <s v="1615"/>
    <s v="South"/>
    <n v="26996.77718293"/>
    <n v="10"/>
    <d v="2023-10-25T00:00:00"/>
    <x v="23"/>
    <n v="58"/>
    <s v="0"/>
    <s v="VIP"/>
    <s v="Online"/>
    <s v="Cash"/>
    <s v="9"/>
    <x v="0"/>
    <x v="8"/>
    <n v="24297.099464636998"/>
  </r>
  <r>
    <s v="1616"/>
    <s v="East"/>
    <n v="24623.168414563799"/>
    <n v="0"/>
    <d v="2024-06-26T00:00:00"/>
    <x v="62"/>
    <n v="81"/>
    <s v="0"/>
    <s v="New"/>
    <s v="In-Store"/>
    <s v="Cash"/>
    <s v="5"/>
    <x v="5"/>
    <x v="5"/>
    <n v="24623.168414563799"/>
  </r>
  <r>
    <s v="1617"/>
    <s v="North"/>
    <n v="20298.151849600799"/>
    <n v="0"/>
    <d v="2023-10-17T00:00:00"/>
    <x v="74"/>
    <n v="99"/>
    <s v="0"/>
    <s v="Returning"/>
    <s v="Online"/>
    <s v="Credit Card"/>
    <s v="9"/>
    <x v="2"/>
    <x v="8"/>
    <n v="20298.151849600799"/>
  </r>
  <r>
    <s v="1618"/>
    <s v="West"/>
    <n v="16765.316111472101"/>
    <n v="0"/>
    <d v="2024-01-15T00:00:00"/>
    <x v="79"/>
    <n v="83"/>
    <s v="0"/>
    <s v="VIP"/>
    <s v="In-Store"/>
    <s v="Bank Transfer"/>
    <s v="9"/>
    <x v="5"/>
    <x v="18"/>
    <n v="16765.316111472101"/>
  </r>
  <r>
    <s v="1619"/>
    <s v="East"/>
    <n v="23491.116568067901"/>
    <n v="0"/>
    <d v="2023-08-01T00:00:00"/>
    <x v="48"/>
    <n v="64"/>
    <s v="0"/>
    <s v="Returning"/>
    <s v="Online"/>
    <s v="Bank Transfer"/>
    <s v="2"/>
    <x v="1"/>
    <x v="17"/>
    <n v="23491.116568067904"/>
  </r>
  <r>
    <s v="1620"/>
    <s v="East"/>
    <n v="21967.4269271087"/>
    <n v="5"/>
    <d v="2023-11-20T00:00:00"/>
    <x v="74"/>
    <n v="44"/>
    <s v="0"/>
    <s v="Returning"/>
    <s v="In-Store"/>
    <s v="Cash"/>
    <s v="9"/>
    <x v="4"/>
    <x v="15"/>
    <n v="20869.055580753266"/>
  </r>
  <r>
    <s v="1621"/>
    <s v="West"/>
    <n v="24475.966100138601"/>
    <n v="0"/>
    <d v="2024-05-21T00:00:00"/>
    <x v="60"/>
    <n v="29"/>
    <s v="0"/>
    <s v="Returning"/>
    <s v="Direct"/>
    <s v="Bank Transfer"/>
    <s v="3"/>
    <x v="5"/>
    <x v="1"/>
    <n v="24475.966100138601"/>
  </r>
  <r>
    <s v="1622"/>
    <s v="South"/>
    <n v="23175.8590084098"/>
    <n v="5"/>
    <d v="2023-10-27T00:00:00"/>
    <x v="13"/>
    <n v="59"/>
    <s v="0"/>
    <s v="New"/>
    <s v="Direct"/>
    <s v="Bank Transfer"/>
    <s v="4"/>
    <x v="6"/>
    <x v="8"/>
    <n v="22017.066057989308"/>
  </r>
  <r>
    <s v="1623"/>
    <s v="East"/>
    <n v="25247.763576596601"/>
    <n v="5"/>
    <d v="2023-01-13T00:00:00"/>
    <x v="11"/>
    <n v="71"/>
    <s v="0"/>
    <s v="Returning"/>
    <s v="Online"/>
    <s v="Credit Card"/>
    <s v="1"/>
    <x v="4"/>
    <x v="4"/>
    <n v="23985.375397766773"/>
  </r>
  <r>
    <s v="1624"/>
    <s v="South"/>
    <n v="17323.823942197101"/>
    <n v="0"/>
    <d v="2023-05-25T00:00:00"/>
    <x v="26"/>
    <n v="92"/>
    <s v="0"/>
    <s v="New"/>
    <s v="Online"/>
    <s v="Cash"/>
    <s v="1"/>
    <x v="5"/>
    <x v="14"/>
    <n v="17323.823942197101"/>
  </r>
  <r>
    <s v="1625"/>
    <s v="North"/>
    <n v="26586.970328171599"/>
    <n v="15"/>
    <d v="2023-08-28T00:00:00"/>
    <x v="73"/>
    <n v="9"/>
    <s v="0"/>
    <s v="New"/>
    <s v="In-Store"/>
    <s v="Cash"/>
    <s v="1"/>
    <x v="0"/>
    <x v="17"/>
    <n v="22598.92477894586"/>
  </r>
  <r>
    <s v="1626"/>
    <s v="South"/>
    <n v="20987.9980234619"/>
    <n v="5"/>
    <d v="2023-03-24T00:00:00"/>
    <x v="57"/>
    <n v="92"/>
    <s v="0"/>
    <s v="Returning"/>
    <s v="In-Store"/>
    <s v="Credit Card"/>
    <s v="9"/>
    <x v="3"/>
    <x v="10"/>
    <n v="19938.598122288804"/>
  </r>
  <r>
    <s v="1627"/>
    <s v="North"/>
    <n v="30376.304363126299"/>
    <n v="15"/>
    <d v="2024-03-14T00:00:00"/>
    <x v="91"/>
    <n v="6"/>
    <s v="0"/>
    <s v="Returning"/>
    <s v="Direct"/>
    <s v="Bank Transfer"/>
    <s v="8"/>
    <x v="6"/>
    <x v="12"/>
    <n v="25819.858708657353"/>
  </r>
  <r>
    <s v="1628"/>
    <s v="South"/>
    <n v="16554.060909552099"/>
    <n v="15"/>
    <d v="2024-01-31T00:00:00"/>
    <x v="69"/>
    <n v="29"/>
    <s v="0"/>
    <s v="Returning"/>
    <s v="In-Store"/>
    <s v="Cash"/>
    <s v="5"/>
    <x v="1"/>
    <x v="18"/>
    <n v="14070.951773119285"/>
  </r>
  <r>
    <s v="1629"/>
    <s v="East"/>
    <n v="28679.8190158262"/>
    <n v="0"/>
    <d v="2023-09-21T00:00:00"/>
    <x v="80"/>
    <n v="58"/>
    <s v="0"/>
    <s v="Returning"/>
    <s v="Online"/>
    <s v="Bank Transfer"/>
    <s v="5"/>
    <x v="6"/>
    <x v="19"/>
    <n v="28679.8190158262"/>
  </r>
  <r>
    <s v="1630"/>
    <s v="East"/>
    <n v="20989.553917313198"/>
    <n v="10"/>
    <d v="2024-05-22T00:00:00"/>
    <x v="5"/>
    <n v="17"/>
    <s v="0"/>
    <s v="New"/>
    <s v="Online"/>
    <s v="Cash"/>
    <s v="9"/>
    <x v="2"/>
    <x v="1"/>
    <n v="18890.598525581878"/>
  </r>
  <r>
    <s v="1631"/>
    <s v="North"/>
    <n v="16742.9099819277"/>
    <n v="0"/>
    <d v="2023-02-14T00:00:00"/>
    <x v="62"/>
    <n v="16"/>
    <s v="0"/>
    <s v="Returning"/>
    <s v="Online"/>
    <s v="Cash"/>
    <s v="3"/>
    <x v="3"/>
    <x v="7"/>
    <n v="16742.9099819277"/>
  </r>
  <r>
    <s v="1632"/>
    <s v="West"/>
    <n v="17580.570829728302"/>
    <n v="10"/>
    <d v="2023-09-15T00:00:00"/>
    <x v="6"/>
    <n v="87"/>
    <s v="0"/>
    <s v="Returning"/>
    <s v="Online"/>
    <s v="Cash"/>
    <s v="3"/>
    <x v="6"/>
    <x v="19"/>
    <n v="15822.513746755472"/>
  </r>
  <r>
    <s v="1633"/>
    <s v="North"/>
    <n v="18398.2634590284"/>
    <n v="10"/>
    <d v="2023-12-25T00:00:00"/>
    <x v="44"/>
    <n v="95"/>
    <s v="0"/>
    <s v="New"/>
    <s v="Online"/>
    <s v="Cash"/>
    <s v="7"/>
    <x v="5"/>
    <x v="6"/>
    <n v="16558.437113125561"/>
  </r>
  <r>
    <s v="1634"/>
    <s v="North"/>
    <n v="22120.829732009501"/>
    <n v="0"/>
    <d v="2024-01-23T00:00:00"/>
    <x v="64"/>
    <n v="3"/>
    <s v="0"/>
    <s v="VIP"/>
    <s v="Direct"/>
    <s v="Bank Transfer"/>
    <s v="9"/>
    <x v="6"/>
    <x v="18"/>
    <n v="22120.829732009497"/>
  </r>
  <r>
    <s v="1635"/>
    <s v="South"/>
    <n v="22614.177440177398"/>
    <n v="0"/>
    <d v="2024-05-19T00:00:00"/>
    <x v="28"/>
    <n v="21"/>
    <s v="0"/>
    <s v="VIP"/>
    <s v="Direct"/>
    <s v="Bank Transfer"/>
    <s v="6"/>
    <x v="6"/>
    <x v="1"/>
    <n v="22614.177440177398"/>
  </r>
  <r>
    <s v="1636"/>
    <s v="South"/>
    <n v="17131.4999803071"/>
    <n v="10"/>
    <d v="2023-09-10T00:00:00"/>
    <x v="40"/>
    <n v="64"/>
    <s v="0"/>
    <s v="New"/>
    <s v="Online"/>
    <s v="Bank Transfer"/>
    <s v="2"/>
    <x v="6"/>
    <x v="19"/>
    <n v="15418.349982276392"/>
  </r>
  <r>
    <s v="1637"/>
    <s v="North"/>
    <n v="19878.227038695"/>
    <n v="0"/>
    <d v="2023-08-03T00:00:00"/>
    <x v="23"/>
    <n v="90"/>
    <s v="1"/>
    <s v="VIP"/>
    <s v="In-Store"/>
    <s v="Bank Transfer"/>
    <s v="1"/>
    <x v="2"/>
    <x v="17"/>
    <n v="19878.227038695"/>
  </r>
  <r>
    <s v="1638"/>
    <s v="East"/>
    <n v="30711.351793059301"/>
    <n v="10"/>
    <d v="2024-02-15T00:00:00"/>
    <x v="73"/>
    <n v="36"/>
    <s v="0"/>
    <s v="New"/>
    <s v="Online"/>
    <s v="Credit Card"/>
    <s v="2"/>
    <x v="6"/>
    <x v="0"/>
    <n v="27640.216613753371"/>
  </r>
  <r>
    <s v="1639"/>
    <s v="South"/>
    <n v="28637.7158505035"/>
    <n v="15"/>
    <d v="2023-11-18T00:00:00"/>
    <x v="59"/>
    <n v="86"/>
    <s v="0"/>
    <s v="Returning"/>
    <s v="Direct"/>
    <s v="Cash"/>
    <s v="1"/>
    <x v="6"/>
    <x v="15"/>
    <n v="24342.058472927976"/>
  </r>
  <r>
    <s v="1640"/>
    <s v="West"/>
    <n v="22181.618348370099"/>
    <n v="0"/>
    <d v="2024-08-03T00:00:00"/>
    <x v="16"/>
    <n v="62"/>
    <s v="0"/>
    <s v="Returning"/>
    <s v="Online"/>
    <s v="Cash"/>
    <s v="10"/>
    <x v="2"/>
    <x v="2"/>
    <n v="22181.618348370095"/>
  </r>
  <r>
    <s v="1641"/>
    <s v="South"/>
    <n v="20190.017390841"/>
    <n v="15"/>
    <d v="2023-06-25T00:00:00"/>
    <x v="44"/>
    <n v="42"/>
    <s v="0"/>
    <s v="VIP"/>
    <s v="Direct"/>
    <s v="Cash"/>
    <s v="10"/>
    <x v="4"/>
    <x v="16"/>
    <n v="17161.51478221485"/>
  </r>
  <r>
    <s v="1642"/>
    <s v="South"/>
    <n v="20600.156633591301"/>
    <n v="5"/>
    <d v="2024-07-23T00:00:00"/>
    <x v="80"/>
    <n v="76"/>
    <s v="0"/>
    <s v="Returning"/>
    <s v="Direct"/>
    <s v="Credit Card"/>
    <s v="9"/>
    <x v="3"/>
    <x v="9"/>
    <n v="19570.148801911735"/>
  </r>
  <r>
    <s v="1643"/>
    <s v="West"/>
    <n v="23067.589863652"/>
    <n v="15"/>
    <d v="2023-01-08T00:00:00"/>
    <x v="75"/>
    <n v="42"/>
    <s v="0"/>
    <s v="VIP"/>
    <s v="Online"/>
    <s v="Bank Transfer"/>
    <s v="10"/>
    <x v="1"/>
    <x v="4"/>
    <n v="19607.451384104199"/>
  </r>
  <r>
    <s v="1644"/>
    <s v="North"/>
    <n v="14886.037174007901"/>
    <n v="15"/>
    <d v="2023-01-02T00:00:00"/>
    <x v="19"/>
    <n v="61"/>
    <s v="0"/>
    <s v="VIP"/>
    <s v="Online"/>
    <s v="Cash"/>
    <s v="8"/>
    <x v="4"/>
    <x v="4"/>
    <n v="12653.131597906717"/>
  </r>
  <r>
    <s v="1645"/>
    <s v="West"/>
    <n v="18713.117312883202"/>
    <n v="10"/>
    <d v="2024-09-21T00:00:00"/>
    <x v="0"/>
    <n v="13"/>
    <s v="0"/>
    <s v="Returning"/>
    <s v="In-Store"/>
    <s v="Bank Transfer"/>
    <s v="7"/>
    <x v="0"/>
    <x v="11"/>
    <n v="16841.805581594883"/>
  </r>
  <r>
    <s v="1646"/>
    <s v="North"/>
    <n v="11657.079630611999"/>
    <n v="15"/>
    <d v="2024-09-21T00:00:00"/>
    <x v="8"/>
    <n v="11"/>
    <s v="0"/>
    <s v="Returning"/>
    <s v="Direct"/>
    <s v="Bank Transfer"/>
    <s v="3"/>
    <x v="2"/>
    <x v="11"/>
    <n v="9908.5176860201991"/>
  </r>
  <r>
    <s v="1647"/>
    <s v="North"/>
    <n v="21996.115613026301"/>
    <n v="0"/>
    <d v="2024-09-15T00:00:00"/>
    <x v="55"/>
    <n v="54"/>
    <s v="0"/>
    <s v="VIP"/>
    <s v="In-Store"/>
    <s v="Credit Card"/>
    <s v="8"/>
    <x v="2"/>
    <x v="11"/>
    <n v="21996.115613026301"/>
  </r>
  <r>
    <s v="1648"/>
    <s v="North"/>
    <n v="23235.9796985137"/>
    <n v="10"/>
    <d v="2023-05-23T00:00:00"/>
    <x v="68"/>
    <n v="16"/>
    <s v="0"/>
    <s v="Returning"/>
    <s v="Online"/>
    <s v="Credit Card"/>
    <s v="2"/>
    <x v="6"/>
    <x v="14"/>
    <n v="20912.381728662331"/>
  </r>
  <r>
    <s v="1649"/>
    <s v="West"/>
    <n v="17584.067688503099"/>
    <n v="5"/>
    <d v="2024-09-13T00:00:00"/>
    <x v="48"/>
    <n v="8"/>
    <s v="0"/>
    <s v="New"/>
    <s v="Direct"/>
    <s v="Bank Transfer"/>
    <s v="2"/>
    <x v="6"/>
    <x v="11"/>
    <n v="16704.864304077943"/>
  </r>
  <r>
    <s v="1650"/>
    <s v="nan"/>
    <n v="27869.933816450099"/>
    <n v="0"/>
    <d v="2023-04-22T00:00:00"/>
    <x v="69"/>
    <n v="59"/>
    <s v="0"/>
    <s v="Returning"/>
    <s v="In-Store"/>
    <s v="Cash"/>
    <s v="10"/>
    <x v="1"/>
    <x v="13"/>
    <n v="27869.933816450099"/>
  </r>
  <r>
    <s v="1651"/>
    <s v="East"/>
    <n v="0"/>
    <n v="5"/>
    <d v="2024-07-27T00:00:00"/>
    <x v="42"/>
    <n v="57"/>
    <s v="0"/>
    <s v="Returning"/>
    <s v="In-Store"/>
    <s v="Cash"/>
    <s v="3"/>
    <x v="0"/>
    <x v="9"/>
    <n v="0"/>
  </r>
  <r>
    <s v="1652"/>
    <s v="West"/>
    <n v="12678.125598950801"/>
    <n v="15"/>
    <d v="2023-09-03T00:00:00"/>
    <x v="98"/>
    <n v="40"/>
    <s v="0"/>
    <s v="New"/>
    <s v="In-Store"/>
    <s v="Credit Card"/>
    <s v="7"/>
    <x v="6"/>
    <x v="19"/>
    <n v="10776.406759108182"/>
  </r>
  <r>
    <s v="1653"/>
    <s v="nan"/>
    <n v="21122.259092799799"/>
    <n v="0"/>
    <d v="2024-01-19T00:00:00"/>
    <x v="38"/>
    <n v="59"/>
    <s v="0"/>
    <s v="Returning"/>
    <s v="Online"/>
    <s v="Credit Card"/>
    <s v="1"/>
    <x v="5"/>
    <x v="18"/>
    <n v="21122.259092799799"/>
  </r>
  <r>
    <s v="1654"/>
    <s v="North"/>
    <n v="25235.491513060701"/>
    <n v="0"/>
    <d v="2024-08-09T00:00:00"/>
    <x v="66"/>
    <n v="2"/>
    <s v="0"/>
    <s v="Returning"/>
    <s v="Online"/>
    <s v="Credit Card"/>
    <s v="8"/>
    <x v="6"/>
    <x v="2"/>
    <n v="25235.491513060701"/>
  </r>
  <r>
    <s v="1655"/>
    <s v="South"/>
    <n v="28419.6384572893"/>
    <n v="5"/>
    <d v="2023-06-03T00:00:00"/>
    <x v="74"/>
    <n v="94"/>
    <s v="0"/>
    <s v="VIP"/>
    <s v="Online"/>
    <s v="Credit Card"/>
    <s v="7"/>
    <x v="6"/>
    <x v="16"/>
    <n v="26998.656534424834"/>
  </r>
  <r>
    <s v="1656"/>
    <s v="North"/>
    <n v="17705.578685655299"/>
    <n v="0"/>
    <d v="2023-12-15T00:00:00"/>
    <x v="88"/>
    <n v="94"/>
    <s v="0"/>
    <s v="Returning"/>
    <s v="Direct"/>
    <s v="Credit Card"/>
    <s v="4"/>
    <x v="5"/>
    <x v="6"/>
    <n v="17705.578685655299"/>
  </r>
  <r>
    <s v="1657"/>
    <s v="East"/>
    <n v="25393.404167156401"/>
    <n v="0"/>
    <d v="2023-01-09T00:00:00"/>
    <x v="31"/>
    <n v="76"/>
    <s v="0"/>
    <s v="Returning"/>
    <s v="Online"/>
    <s v="Credit Card"/>
    <s v="5"/>
    <x v="0"/>
    <x v="4"/>
    <n v="25393.404167156401"/>
  </r>
  <r>
    <s v="1658"/>
    <s v="East"/>
    <n v="19807.4576524964"/>
    <n v="0"/>
    <d v="2023-05-04T00:00:00"/>
    <x v="48"/>
    <n v="10"/>
    <s v="0"/>
    <s v="New"/>
    <s v="Direct"/>
    <s v="Credit Card"/>
    <s v="10"/>
    <x v="5"/>
    <x v="14"/>
    <n v="19807.4576524964"/>
  </r>
  <r>
    <s v="1659"/>
    <s v="West"/>
    <n v="19136.863500295902"/>
    <n v="15"/>
    <d v="2023-09-10T00:00:00"/>
    <x v="53"/>
    <n v="44"/>
    <s v="0"/>
    <s v="VIP"/>
    <s v="In-Store"/>
    <s v="Cash"/>
    <s v="1"/>
    <x v="2"/>
    <x v="19"/>
    <n v="16266.333975251517"/>
  </r>
  <r>
    <s v="1660"/>
    <s v="South"/>
    <n v="24418.2996874333"/>
    <n v="5"/>
    <d v="2023-10-02T00:00:00"/>
    <x v="81"/>
    <n v="11"/>
    <s v="0"/>
    <s v="VIP"/>
    <s v="In-Store"/>
    <s v="Credit Card"/>
    <s v="4"/>
    <x v="5"/>
    <x v="8"/>
    <n v="23197.384703061638"/>
  </r>
  <r>
    <s v="1661"/>
    <s v="West"/>
    <n v="23261.614392067098"/>
    <n v="0"/>
    <d v="2023-07-14T00:00:00"/>
    <x v="26"/>
    <n v="79"/>
    <s v="0"/>
    <s v="VIP"/>
    <s v="Online"/>
    <s v="Credit Card"/>
    <s v="1"/>
    <x v="3"/>
    <x v="20"/>
    <n v="23261.614392067095"/>
  </r>
  <r>
    <s v="1662"/>
    <s v="East"/>
    <n v="12118.039215078699"/>
    <n v="10"/>
    <d v="2023-08-01T00:00:00"/>
    <x v="87"/>
    <n v="80"/>
    <s v="0"/>
    <s v="Returning"/>
    <s v="In-Store"/>
    <s v="Cash"/>
    <s v="1"/>
    <x v="2"/>
    <x v="17"/>
    <n v="10906.23529357083"/>
  </r>
  <r>
    <s v="1663"/>
    <s v="North"/>
    <n v="27382.701748629399"/>
    <n v="10"/>
    <d v="2024-04-07T00:00:00"/>
    <x v="82"/>
    <n v="81"/>
    <s v="0"/>
    <s v="VIP"/>
    <s v="Online"/>
    <s v="Cash"/>
    <s v="10"/>
    <x v="6"/>
    <x v="3"/>
    <n v="24644.431573766462"/>
  </r>
  <r>
    <s v="1664"/>
    <s v="South"/>
    <n v="26900.456770737201"/>
    <n v="10"/>
    <d v="2023-09-19T00:00:00"/>
    <x v="89"/>
    <n v="90"/>
    <s v="0"/>
    <s v="New"/>
    <s v="Direct"/>
    <s v="Bank Transfer"/>
    <s v="1"/>
    <x v="1"/>
    <x v="19"/>
    <n v="24210.411093663479"/>
  </r>
  <r>
    <s v="1665"/>
    <s v="North"/>
    <n v="16872.1864924523"/>
    <n v="10"/>
    <d v="2023-01-02T00:00:00"/>
    <x v="89"/>
    <n v="2"/>
    <s v="0"/>
    <s v="VIP"/>
    <s v="In-Store"/>
    <s v="Credit Card"/>
    <s v="7"/>
    <x v="2"/>
    <x v="4"/>
    <n v="15184.96784320707"/>
  </r>
  <r>
    <s v="1666"/>
    <s v="North"/>
    <n v="21979.017667186999"/>
    <n v="15"/>
    <d v="2024-03-16T00:00:00"/>
    <x v="44"/>
    <n v="50"/>
    <s v="0"/>
    <s v="New"/>
    <s v="Online"/>
    <s v="Credit Card"/>
    <s v="7"/>
    <x v="0"/>
    <x v="12"/>
    <n v="18682.16501710895"/>
  </r>
  <r>
    <s v="1667"/>
    <s v="South"/>
    <n v="22470.150931413598"/>
    <n v="0"/>
    <d v="2023-12-18T00:00:00"/>
    <x v="41"/>
    <n v="12"/>
    <s v="1"/>
    <s v="VIP"/>
    <s v="In-Store"/>
    <s v="Credit Card"/>
    <s v="4"/>
    <x v="0"/>
    <x v="6"/>
    <n v="22470.150931413598"/>
  </r>
  <r>
    <s v="1668"/>
    <s v="West"/>
    <n v="21303.368829119499"/>
    <n v="5"/>
    <d v="2023-10-16T00:00:00"/>
    <x v="32"/>
    <n v="90"/>
    <s v="0"/>
    <s v="VIP"/>
    <s v="In-Store"/>
    <s v="Credit Card"/>
    <s v="2"/>
    <x v="5"/>
    <x v="8"/>
    <n v="20238.200387663524"/>
  </r>
  <r>
    <s v="1669"/>
    <s v="North"/>
    <n v="17248.474230772899"/>
    <n v="0"/>
    <d v="2024-03-07T00:00:00"/>
    <x v="98"/>
    <n v="23"/>
    <s v="0"/>
    <s v="New"/>
    <s v="Online"/>
    <s v="Bank Transfer"/>
    <s v="3"/>
    <x v="2"/>
    <x v="12"/>
    <n v="17248.474230772899"/>
  </r>
  <r>
    <s v="1670"/>
    <s v="East"/>
    <n v="16641.883160309699"/>
    <n v="15"/>
    <d v="2024-06-06T00:00:00"/>
    <x v="82"/>
    <n v="18"/>
    <s v="0"/>
    <s v="VIP"/>
    <s v="In-Store"/>
    <s v="Cash"/>
    <s v="8"/>
    <x v="6"/>
    <x v="5"/>
    <n v="14145.600686263244"/>
  </r>
  <r>
    <s v="1671"/>
    <s v="North"/>
    <n v="19872.229645042698"/>
    <n v="10"/>
    <d v="2024-04-21T00:00:00"/>
    <x v="1"/>
    <n v="62"/>
    <s v="0"/>
    <s v="VIP"/>
    <s v="In-Store"/>
    <s v="Cash"/>
    <s v="8"/>
    <x v="0"/>
    <x v="3"/>
    <n v="17885.006680538427"/>
  </r>
  <r>
    <s v="1672"/>
    <s v="South"/>
    <n v="25863.645096296801"/>
    <n v="15"/>
    <d v="2024-05-05T00:00:00"/>
    <x v="40"/>
    <n v="96"/>
    <s v="0"/>
    <s v="VIP"/>
    <s v="In-Store"/>
    <s v="Credit Card"/>
    <s v="6"/>
    <x v="4"/>
    <x v="1"/>
    <n v="21984.098331852281"/>
  </r>
  <r>
    <s v="1673"/>
    <s v="South"/>
    <n v="22718.0007729721"/>
    <n v="0"/>
    <d v="2024-07-10T00:00:00"/>
    <x v="68"/>
    <n v="62"/>
    <s v="0"/>
    <s v="Returning"/>
    <s v="In-Store"/>
    <s v="Credit Card"/>
    <s v="10"/>
    <x v="6"/>
    <x v="9"/>
    <n v="22718.000772972104"/>
  </r>
  <r>
    <s v="1674"/>
    <s v="South"/>
    <n v="18146.9283395694"/>
    <n v="5"/>
    <d v="2023-11-12T00:00:00"/>
    <x v="95"/>
    <n v="38"/>
    <s v="0"/>
    <s v="New"/>
    <s v="Direct"/>
    <s v="Credit Card"/>
    <s v="9"/>
    <x v="4"/>
    <x v="15"/>
    <n v="17239.581922590929"/>
  </r>
  <r>
    <s v="1675"/>
    <s v="West"/>
    <n v="23858.4935532417"/>
    <n v="15"/>
    <d v="2023-09-23T00:00:00"/>
    <x v="16"/>
    <n v="67"/>
    <s v="0"/>
    <s v="VIP"/>
    <s v="In-Store"/>
    <s v="Bank Transfer"/>
    <s v="9"/>
    <x v="3"/>
    <x v="19"/>
    <n v="20279.719520255447"/>
  </r>
  <r>
    <s v="1676"/>
    <s v="nan"/>
    <n v="5757.2868968496196"/>
    <n v="5"/>
    <d v="2023-09-07T00:00:00"/>
    <x v="80"/>
    <n v="38"/>
    <s v="0"/>
    <s v="New"/>
    <s v="In-Store"/>
    <s v="Bank Transfer"/>
    <s v="4"/>
    <x v="4"/>
    <x v="19"/>
    <n v="5469.4225520071386"/>
  </r>
  <r>
    <s v="1677"/>
    <s v="West"/>
    <n v="25743.828501860498"/>
    <n v="15"/>
    <d v="2023-08-26T00:00:00"/>
    <x v="35"/>
    <n v="67"/>
    <s v="0"/>
    <s v="New"/>
    <s v="Online"/>
    <s v="Cash"/>
    <s v="1"/>
    <x v="0"/>
    <x v="17"/>
    <n v="21882.254226581423"/>
  </r>
  <r>
    <s v="1678"/>
    <s v="West"/>
    <n v="11301.4311061095"/>
    <n v="5"/>
    <d v="2024-02-05T00:00:00"/>
    <x v="82"/>
    <n v="94"/>
    <s v="0"/>
    <s v="New"/>
    <s v="Direct"/>
    <s v="Credit Card"/>
    <s v="1"/>
    <x v="5"/>
    <x v="0"/>
    <n v="10736.359550804025"/>
  </r>
  <r>
    <s v="1679"/>
    <s v="South"/>
    <n v="18187.795292984301"/>
    <n v="5"/>
    <d v="2023-02-02T00:00:00"/>
    <x v="80"/>
    <n v="61"/>
    <s v="1"/>
    <s v="VIP"/>
    <s v="Online"/>
    <s v="Credit Card"/>
    <s v="10"/>
    <x v="3"/>
    <x v="7"/>
    <n v="17278.405528335086"/>
  </r>
  <r>
    <s v="1680"/>
    <s v="South"/>
    <n v="14401.6505268692"/>
    <n v="10"/>
    <d v="2023-08-28T00:00:00"/>
    <x v="30"/>
    <n v="1"/>
    <s v="0"/>
    <s v="VIP"/>
    <s v="Online"/>
    <s v="Credit Card"/>
    <s v="5"/>
    <x v="2"/>
    <x v="17"/>
    <n v="12961.485474182278"/>
  </r>
  <r>
    <s v="1681"/>
    <s v="West"/>
    <n v="13526.592621395401"/>
    <n v="5"/>
    <d v="2023-09-09T00:00:00"/>
    <x v="63"/>
    <n v="94"/>
    <s v="0"/>
    <s v="New"/>
    <s v="Online"/>
    <s v="Credit Card"/>
    <s v="2"/>
    <x v="6"/>
    <x v="19"/>
    <n v="12850.262990325631"/>
  </r>
  <r>
    <s v="1682"/>
    <s v="North"/>
    <n v="25804.133936892598"/>
    <n v="10"/>
    <d v="2024-08-11T00:00:00"/>
    <x v="77"/>
    <n v="45"/>
    <s v="0"/>
    <s v="Returning"/>
    <s v="Direct"/>
    <s v="Bank Transfer"/>
    <s v="6"/>
    <x v="0"/>
    <x v="2"/>
    <n v="23223.720543203341"/>
  </r>
  <r>
    <s v="1683"/>
    <s v="East"/>
    <n v="17661.493993440501"/>
    <n v="0"/>
    <d v="2023-04-01T00:00:00"/>
    <x v="61"/>
    <n v="96"/>
    <s v="1"/>
    <s v="New"/>
    <s v="Online"/>
    <s v="Cash"/>
    <s v="7"/>
    <x v="3"/>
    <x v="13"/>
    <n v="17661.493993440501"/>
  </r>
  <r>
    <s v="1684"/>
    <s v="West"/>
    <n v="21732.519408653501"/>
    <n v="0"/>
    <d v="2023-02-24T00:00:00"/>
    <x v="15"/>
    <n v="28"/>
    <s v="0"/>
    <s v="Returning"/>
    <s v="Online"/>
    <s v="Cash"/>
    <s v="1"/>
    <x v="3"/>
    <x v="7"/>
    <n v="21732.519408653501"/>
  </r>
  <r>
    <s v="1685"/>
    <s v="North"/>
    <n v="19765.397105603999"/>
    <n v="10"/>
    <d v="2023-10-23T00:00:00"/>
    <x v="18"/>
    <n v="21"/>
    <s v="0"/>
    <s v="New"/>
    <s v="Online"/>
    <s v="Bank Transfer"/>
    <s v="6"/>
    <x v="0"/>
    <x v="8"/>
    <n v="17788.8573950436"/>
  </r>
  <r>
    <s v="1686"/>
    <s v="South"/>
    <n v="22385.204136115601"/>
    <n v="10"/>
    <d v="2023-01-29T00:00:00"/>
    <x v="46"/>
    <n v="13"/>
    <s v="0"/>
    <s v="New"/>
    <s v="In-Store"/>
    <s v="Credit Card"/>
    <s v="8"/>
    <x v="2"/>
    <x v="4"/>
    <n v="20146.68372250404"/>
  </r>
  <r>
    <s v="1687"/>
    <s v="South"/>
    <n v="20384.109455301201"/>
    <n v="15"/>
    <d v="2024-06-22T00:00:00"/>
    <x v="99"/>
    <n v="27"/>
    <s v="0"/>
    <s v="New"/>
    <s v="Online"/>
    <s v="Cash"/>
    <s v="5"/>
    <x v="2"/>
    <x v="5"/>
    <n v="17326.493037006021"/>
  </r>
  <r>
    <s v="1688"/>
    <s v="North"/>
    <n v="13585.0388790571"/>
    <n v="15"/>
    <d v="2023-06-01T00:00:00"/>
    <x v="39"/>
    <n v="7"/>
    <s v="0"/>
    <s v="VIP"/>
    <s v="Direct"/>
    <s v="Cash"/>
    <s v="7"/>
    <x v="5"/>
    <x v="16"/>
    <n v="11547.283047198534"/>
  </r>
  <r>
    <s v="1689"/>
    <s v="East"/>
    <n v="24981.3340972357"/>
    <n v="15"/>
    <d v="2023-01-06T00:00:00"/>
    <x v="36"/>
    <n v="22"/>
    <s v="0"/>
    <s v="Returning"/>
    <s v="Direct"/>
    <s v="Bank Transfer"/>
    <s v="10"/>
    <x v="1"/>
    <x v="4"/>
    <n v="21234.133982650343"/>
  </r>
  <r>
    <s v="1690"/>
    <s v="South"/>
    <n v="17531.217084193398"/>
    <n v="0"/>
    <d v="2024-02-28T00:00:00"/>
    <x v="91"/>
    <n v="74"/>
    <s v="1"/>
    <s v="Returning"/>
    <s v="In-Store"/>
    <s v="Credit Card"/>
    <s v="6"/>
    <x v="4"/>
    <x v="0"/>
    <n v="17531.217084193398"/>
  </r>
  <r>
    <s v="1691"/>
    <s v="South"/>
    <n v="12217.090506701201"/>
    <n v="15"/>
    <d v="2024-01-01T00:00:00"/>
    <x v="31"/>
    <n v="53"/>
    <s v="0"/>
    <s v="New"/>
    <s v="Direct"/>
    <s v="Cash"/>
    <s v="4"/>
    <x v="2"/>
    <x v="18"/>
    <n v="10384.526930696022"/>
  </r>
  <r>
    <s v="1692"/>
    <s v="South"/>
    <n v="17859.424195170399"/>
    <n v="5"/>
    <d v="2023-12-04T00:00:00"/>
    <x v="84"/>
    <n v="79"/>
    <s v="0"/>
    <s v="VIP"/>
    <s v="Direct"/>
    <s v="Credit Card"/>
    <s v="7"/>
    <x v="5"/>
    <x v="6"/>
    <n v="16966.452985411881"/>
  </r>
  <r>
    <s v="1693"/>
    <s v="North"/>
    <n v="27503.798953171499"/>
    <n v="5"/>
    <d v="2024-01-17T00:00:00"/>
    <x v="78"/>
    <n v="79"/>
    <s v="0"/>
    <s v="VIP"/>
    <s v="In-Store"/>
    <s v="Cash"/>
    <s v="10"/>
    <x v="4"/>
    <x v="18"/>
    <n v="26128.609005512924"/>
  </r>
  <r>
    <s v="1694"/>
    <s v="West"/>
    <n v="24251.108710567401"/>
    <n v="15"/>
    <d v="2024-02-18T00:00:00"/>
    <x v="59"/>
    <n v="4"/>
    <s v="0"/>
    <s v="Returning"/>
    <s v="Online"/>
    <s v="Bank Transfer"/>
    <s v="9"/>
    <x v="3"/>
    <x v="0"/>
    <n v="20613.442403982292"/>
  </r>
  <r>
    <s v="1695"/>
    <s v="South"/>
    <n v="18256.739327960699"/>
    <n v="5"/>
    <d v="2024-08-05T00:00:00"/>
    <x v="59"/>
    <n v="96"/>
    <s v="0"/>
    <s v="VIP"/>
    <s v="In-Store"/>
    <s v="Credit Card"/>
    <s v="10"/>
    <x v="0"/>
    <x v="2"/>
    <n v="17343.902361562665"/>
  </r>
  <r>
    <s v="1696"/>
    <s v="West"/>
    <n v="0"/>
    <n v="0"/>
    <d v="2024-04-18T00:00:00"/>
    <x v="76"/>
    <n v="23"/>
    <s v="0"/>
    <s v="Returning"/>
    <s v="Online"/>
    <s v="Bank Transfer"/>
    <s v="10"/>
    <x v="2"/>
    <x v="3"/>
    <n v="0"/>
  </r>
  <r>
    <s v="1697"/>
    <s v="East"/>
    <n v="18391.824743912999"/>
    <n v="5"/>
    <d v="2024-02-13T00:00:00"/>
    <x v="76"/>
    <n v="70"/>
    <s v="0"/>
    <s v="Returning"/>
    <s v="Online"/>
    <s v="Cash"/>
    <s v="7"/>
    <x v="5"/>
    <x v="0"/>
    <n v="17472.233506717348"/>
  </r>
  <r>
    <s v="1698"/>
    <s v="South"/>
    <n v="30383.7399178042"/>
    <n v="0"/>
    <d v="2024-01-28T00:00:00"/>
    <x v="55"/>
    <n v="88"/>
    <s v="0"/>
    <s v="Returning"/>
    <s v="Direct"/>
    <s v="Bank Transfer"/>
    <s v="5"/>
    <x v="3"/>
    <x v="18"/>
    <n v="30383.7399178042"/>
  </r>
  <r>
    <s v="1699"/>
    <s v="South"/>
    <n v="21909.6772611577"/>
    <n v="10"/>
    <d v="2024-03-21T00:00:00"/>
    <x v="35"/>
    <n v="84"/>
    <s v="0"/>
    <s v="VIP"/>
    <s v="In-Store"/>
    <s v="Bank Transfer"/>
    <s v="7"/>
    <x v="2"/>
    <x v="12"/>
    <n v="19718.709535041929"/>
  </r>
  <r>
    <s v="1700"/>
    <s v="East"/>
    <n v="22150.208235955299"/>
    <n v="10"/>
    <d v="2024-08-02T00:00:00"/>
    <x v="70"/>
    <n v="84"/>
    <s v="0"/>
    <s v="Returning"/>
    <s v="Direct"/>
    <s v="Bank Transfer"/>
    <s v="3"/>
    <x v="6"/>
    <x v="2"/>
    <n v="19935.187412359766"/>
  </r>
  <r>
    <s v="1701"/>
    <s v="South"/>
    <n v="25151.4172701592"/>
    <n v="10"/>
    <d v="2023-04-24T00:00:00"/>
    <x v="46"/>
    <n v="76"/>
    <s v="0"/>
    <s v="Returning"/>
    <s v="Direct"/>
    <s v="Cash"/>
    <s v="2"/>
    <x v="1"/>
    <x v="13"/>
    <n v="22636.275543143278"/>
  </r>
  <r>
    <s v="1702"/>
    <s v="West"/>
    <n v="21193.945795132498"/>
    <n v="10"/>
    <d v="2024-07-08T00:00:00"/>
    <x v="79"/>
    <n v="33"/>
    <s v="0"/>
    <s v="New"/>
    <s v="Online"/>
    <s v="Credit Card"/>
    <s v="5"/>
    <x v="3"/>
    <x v="9"/>
    <n v="19074.551215619249"/>
  </r>
  <r>
    <s v="1703"/>
    <s v="North"/>
    <n v="18704.789270896399"/>
    <n v="5"/>
    <d v="2023-01-04T00:00:00"/>
    <x v="19"/>
    <n v="28"/>
    <s v="1"/>
    <s v="Returning"/>
    <s v="Direct"/>
    <s v="Bank Transfer"/>
    <s v="4"/>
    <x v="2"/>
    <x v="4"/>
    <n v="17769.549807351577"/>
  </r>
  <r>
    <s v="1704"/>
    <s v="West"/>
    <n v="19018.2507545751"/>
    <n v="15"/>
    <d v="2024-06-28T00:00:00"/>
    <x v="84"/>
    <n v="8"/>
    <s v="0"/>
    <s v="Returning"/>
    <s v="In-Store"/>
    <s v="Credit Card"/>
    <s v="5"/>
    <x v="3"/>
    <x v="5"/>
    <n v="16165.513141388836"/>
  </r>
  <r>
    <s v="1705"/>
    <s v="North"/>
    <n v="19641.993702929602"/>
    <n v="5"/>
    <d v="2023-07-15T00:00:00"/>
    <x v="19"/>
    <n v="1"/>
    <s v="1"/>
    <s v="New"/>
    <s v="Direct"/>
    <s v="Cash"/>
    <s v="8"/>
    <x v="0"/>
    <x v="20"/>
    <n v="18659.894017783121"/>
  </r>
  <r>
    <s v="1706"/>
    <s v="North"/>
    <n v="19813.888817450701"/>
    <n v="0"/>
    <d v="2023-12-16T00:00:00"/>
    <x v="24"/>
    <n v="37"/>
    <s v="0"/>
    <s v="New"/>
    <s v="Direct"/>
    <s v="Credit Card"/>
    <s v="4"/>
    <x v="0"/>
    <x v="6"/>
    <n v="19813.888817450701"/>
  </r>
  <r>
    <s v="1707"/>
    <s v="West"/>
    <n v="23638.1477181849"/>
    <n v="5"/>
    <d v="2023-07-28T00:00:00"/>
    <x v="92"/>
    <n v="63"/>
    <s v="0"/>
    <s v="VIP"/>
    <s v="Online"/>
    <s v="Bank Transfer"/>
    <s v="9"/>
    <x v="1"/>
    <x v="20"/>
    <n v="22456.240332275658"/>
  </r>
  <r>
    <s v="1708"/>
    <s v="West"/>
    <n v="20259.729429036499"/>
    <n v="5"/>
    <d v="2023-08-15T00:00:00"/>
    <x v="9"/>
    <n v="22"/>
    <s v="0"/>
    <s v="Returning"/>
    <s v="In-Store"/>
    <s v="Bank Transfer"/>
    <s v="7"/>
    <x v="0"/>
    <x v="17"/>
    <n v="19246.742957584673"/>
  </r>
  <r>
    <s v="1709"/>
    <s v="West"/>
    <n v="23663.200386077799"/>
    <n v="0"/>
    <d v="2024-05-20T00:00:00"/>
    <x v="89"/>
    <n v="70"/>
    <s v="0"/>
    <s v="VIP"/>
    <s v="Direct"/>
    <s v="Bank Transfer"/>
    <s v="10"/>
    <x v="4"/>
    <x v="1"/>
    <n v="23663.200386077799"/>
  </r>
  <r>
    <s v="1710"/>
    <s v="West"/>
    <n v="19596.417099457001"/>
    <n v="10"/>
    <d v="2023-09-09T00:00:00"/>
    <x v="8"/>
    <n v="21"/>
    <s v="0"/>
    <s v="VIP"/>
    <s v="Online"/>
    <s v="Bank Transfer"/>
    <s v="7"/>
    <x v="6"/>
    <x v="19"/>
    <n v="17636.775389511302"/>
  </r>
  <r>
    <s v="1711"/>
    <s v="East"/>
    <n v="20393.175951580401"/>
    <n v="10"/>
    <d v="2023-07-10T00:00:00"/>
    <x v="85"/>
    <n v="96"/>
    <s v="0"/>
    <s v="New"/>
    <s v="Direct"/>
    <s v="Bank Transfer"/>
    <s v="8"/>
    <x v="0"/>
    <x v="20"/>
    <n v="18353.858356422359"/>
  </r>
  <r>
    <s v="1712"/>
    <s v="South"/>
    <n v="0"/>
    <n v="10"/>
    <d v="2023-12-02T00:00:00"/>
    <x v="61"/>
    <n v="35"/>
    <s v="0"/>
    <s v="VIP"/>
    <s v="In-Store"/>
    <s v="Bank Transfer"/>
    <s v="6"/>
    <x v="6"/>
    <x v="6"/>
    <n v="0"/>
  </r>
  <r>
    <s v="1713"/>
    <s v="North"/>
    <n v="24581.6383735124"/>
    <n v="15"/>
    <d v="2024-04-22T00:00:00"/>
    <x v="56"/>
    <n v="79"/>
    <s v="0"/>
    <s v="Returning"/>
    <s v="Direct"/>
    <s v="Cash"/>
    <s v="8"/>
    <x v="0"/>
    <x v="3"/>
    <n v="20894.392617485541"/>
  </r>
  <r>
    <s v="1714"/>
    <s v="nan"/>
    <n v="21732.442379489901"/>
    <n v="0"/>
    <d v="2023-07-01T00:00:00"/>
    <x v="77"/>
    <n v="5"/>
    <s v="0"/>
    <s v="New"/>
    <s v="Direct"/>
    <s v="Cash"/>
    <s v="3"/>
    <x v="4"/>
    <x v="20"/>
    <n v="21732.442379489901"/>
  </r>
  <r>
    <s v="1715"/>
    <s v="West"/>
    <n v="24990.050549298201"/>
    <n v="0"/>
    <d v="2023-07-30T00:00:00"/>
    <x v="55"/>
    <n v="60"/>
    <s v="0"/>
    <s v="Returning"/>
    <s v="Online"/>
    <s v="Cash"/>
    <s v="10"/>
    <x v="3"/>
    <x v="20"/>
    <n v="24990.050549298197"/>
  </r>
  <r>
    <s v="1716"/>
    <s v="West"/>
    <n v="5518.7231090315499"/>
    <n v="5"/>
    <d v="2023-02-01T00:00:00"/>
    <x v="90"/>
    <n v="46"/>
    <s v="0"/>
    <s v="Returning"/>
    <s v="Direct"/>
    <s v="Credit Card"/>
    <s v="10"/>
    <x v="2"/>
    <x v="7"/>
    <n v="5242.7869535799728"/>
  </r>
  <r>
    <s v="1717"/>
    <s v="East"/>
    <n v="30441.8735239036"/>
    <n v="15"/>
    <d v="2024-05-08T00:00:00"/>
    <x v="28"/>
    <n v="50"/>
    <s v="0"/>
    <s v="New"/>
    <s v="Online"/>
    <s v="Credit Card"/>
    <s v="1"/>
    <x v="2"/>
    <x v="1"/>
    <n v="25875.592495318058"/>
  </r>
  <r>
    <s v="1718"/>
    <s v="West"/>
    <n v="19302.051859224099"/>
    <n v="10"/>
    <d v="2024-09-09T00:00:00"/>
    <x v="31"/>
    <n v="48"/>
    <s v="0"/>
    <s v="Returning"/>
    <s v="In-Store"/>
    <s v="Cash"/>
    <s v="6"/>
    <x v="0"/>
    <x v="11"/>
    <n v="17371.84667330169"/>
  </r>
  <r>
    <s v="1719"/>
    <s v="West"/>
    <n v="25540.914083687501"/>
    <n v="15"/>
    <d v="2024-02-01T00:00:00"/>
    <x v="19"/>
    <n v="6"/>
    <s v="0"/>
    <s v="New"/>
    <s v="Direct"/>
    <s v="Credit Card"/>
    <s v="1"/>
    <x v="2"/>
    <x v="0"/>
    <n v="21709.776971134375"/>
  </r>
  <r>
    <s v="1720"/>
    <s v="West"/>
    <n v="14800.470364372301"/>
    <n v="0"/>
    <d v="2024-03-28T00:00:00"/>
    <x v="96"/>
    <n v="89"/>
    <s v="0"/>
    <s v="Returning"/>
    <s v="In-Store"/>
    <s v="Credit Card"/>
    <s v="9"/>
    <x v="0"/>
    <x v="12"/>
    <n v="14800.470364372299"/>
  </r>
  <r>
    <s v="1721"/>
    <s v="South"/>
    <n v="23063.869525312799"/>
    <n v="0"/>
    <d v="2023-08-29T00:00:00"/>
    <x v="1"/>
    <n v="56"/>
    <s v="0"/>
    <s v="New"/>
    <s v="In-Store"/>
    <s v="Bank Transfer"/>
    <s v="2"/>
    <x v="0"/>
    <x v="17"/>
    <n v="23063.869525312799"/>
  </r>
  <r>
    <s v="1722"/>
    <s v="East"/>
    <n v="14732.922184131699"/>
    <n v="5"/>
    <d v="2024-05-02T00:00:00"/>
    <x v="86"/>
    <n v="59"/>
    <s v="0"/>
    <s v="VIP"/>
    <s v="Direct"/>
    <s v="Bank Transfer"/>
    <s v="2"/>
    <x v="1"/>
    <x v="1"/>
    <n v="13996.276074925114"/>
  </r>
  <r>
    <s v="1723"/>
    <s v="West"/>
    <n v="16881.1551965209"/>
    <n v="5"/>
    <d v="2024-01-18T00:00:00"/>
    <x v="44"/>
    <n v="29"/>
    <s v="0"/>
    <s v="Returning"/>
    <s v="Online"/>
    <s v="Credit Card"/>
    <s v="7"/>
    <x v="5"/>
    <x v="18"/>
    <n v="16037.097436694854"/>
  </r>
  <r>
    <s v="1724"/>
    <s v="North"/>
    <n v="29570.156769333898"/>
    <n v="0"/>
    <d v="2024-09-30T00:00:00"/>
    <x v="62"/>
    <n v="71"/>
    <s v="0"/>
    <s v="New"/>
    <s v="In-Store"/>
    <s v="Credit Card"/>
    <s v="2"/>
    <x v="5"/>
    <x v="11"/>
    <n v="29570.156769333895"/>
  </r>
  <r>
    <s v="1725"/>
    <s v="North"/>
    <n v="19046.5879961832"/>
    <n v="10"/>
    <d v="2024-06-10T00:00:00"/>
    <x v="36"/>
    <n v="77"/>
    <s v="0"/>
    <s v="Returning"/>
    <s v="In-Store"/>
    <s v="Cash"/>
    <s v="10"/>
    <x v="1"/>
    <x v="5"/>
    <n v="17141.929196564877"/>
  </r>
  <r>
    <s v="1726"/>
    <s v="North"/>
    <n v="21087.164365898599"/>
    <n v="10"/>
    <d v="2023-12-09T00:00:00"/>
    <x v="97"/>
    <n v="18"/>
    <s v="0"/>
    <s v="Returning"/>
    <s v="Direct"/>
    <s v="Credit Card"/>
    <s v="8"/>
    <x v="5"/>
    <x v="6"/>
    <n v="18978.447929308739"/>
  </r>
  <r>
    <s v="1727"/>
    <s v="East"/>
    <n v="24350.338653443701"/>
    <n v="15"/>
    <d v="2024-05-08T00:00:00"/>
    <x v="33"/>
    <n v="2"/>
    <s v="1"/>
    <s v="Returning"/>
    <s v="Direct"/>
    <s v="Bank Transfer"/>
    <s v="6"/>
    <x v="6"/>
    <x v="1"/>
    <n v="20697.787855427145"/>
  </r>
  <r>
    <s v="1728"/>
    <s v="East"/>
    <n v="22478.409439863"/>
    <n v="0"/>
    <d v="2023-04-02T00:00:00"/>
    <x v="35"/>
    <n v="8"/>
    <s v="0"/>
    <s v="New"/>
    <s v="Direct"/>
    <s v="Credit Card"/>
    <s v="7"/>
    <x v="5"/>
    <x v="13"/>
    <n v="22478.409439863"/>
  </r>
  <r>
    <s v="1729"/>
    <s v="North"/>
    <n v="20752.094525717799"/>
    <n v="0"/>
    <d v="2023-02-07T00:00:00"/>
    <x v="74"/>
    <n v="75"/>
    <s v="0"/>
    <s v="VIP"/>
    <s v="Direct"/>
    <s v="Cash"/>
    <s v="7"/>
    <x v="0"/>
    <x v="7"/>
    <n v="20752.094525717799"/>
  </r>
  <r>
    <s v="1730"/>
    <s v="West"/>
    <n v="21824.8050123311"/>
    <n v="10"/>
    <d v="2024-07-07T00:00:00"/>
    <x v="39"/>
    <n v="97"/>
    <s v="0"/>
    <s v="VIP"/>
    <s v="Direct"/>
    <s v="Bank Transfer"/>
    <s v="6"/>
    <x v="4"/>
    <x v="9"/>
    <n v="19642.324511097991"/>
  </r>
  <r>
    <s v="1731"/>
    <s v="East"/>
    <n v="32017.077926191301"/>
    <n v="10"/>
    <d v="2024-05-12T00:00:00"/>
    <x v="52"/>
    <n v="54"/>
    <s v="0"/>
    <s v="VIP"/>
    <s v="Direct"/>
    <s v="Bank Transfer"/>
    <s v="10"/>
    <x v="4"/>
    <x v="1"/>
    <n v="28815.370133572171"/>
  </r>
  <r>
    <s v="1732"/>
    <s v="North"/>
    <n v="19711.906014831999"/>
    <n v="0"/>
    <d v="2023-02-17T00:00:00"/>
    <x v="71"/>
    <n v="38"/>
    <s v="0"/>
    <s v="New"/>
    <s v="Online"/>
    <s v="Bank Transfer"/>
    <s v="9"/>
    <x v="3"/>
    <x v="7"/>
    <n v="19711.906014831999"/>
  </r>
  <r>
    <s v="1733"/>
    <s v="North"/>
    <n v="21005.495233574798"/>
    <n v="5"/>
    <d v="2023-01-02T00:00:00"/>
    <x v="55"/>
    <n v="48"/>
    <s v="0"/>
    <s v="VIP"/>
    <s v="In-Store"/>
    <s v="Bank Transfer"/>
    <s v="9"/>
    <x v="5"/>
    <x v="4"/>
    <n v="19955.22047189606"/>
  </r>
  <r>
    <s v="1734"/>
    <s v="West"/>
    <n v="25253.271980038"/>
    <n v="0"/>
    <d v="2024-01-02T00:00:00"/>
    <x v="61"/>
    <n v="27"/>
    <s v="0"/>
    <s v="New"/>
    <s v="Online"/>
    <s v="Credit Card"/>
    <s v="7"/>
    <x v="4"/>
    <x v="18"/>
    <n v="25253.271980038"/>
  </r>
  <r>
    <s v="1735"/>
    <s v="South"/>
    <n v="25527.6296647899"/>
    <n v="0"/>
    <d v="2024-04-22T00:00:00"/>
    <x v="0"/>
    <n v="20"/>
    <s v="1"/>
    <s v="Returning"/>
    <s v="Online"/>
    <s v="Cash"/>
    <s v="9"/>
    <x v="5"/>
    <x v="3"/>
    <n v="25527.6296647899"/>
  </r>
  <r>
    <s v="1736"/>
    <s v="East"/>
    <n v="25935.1515278019"/>
    <n v="10"/>
    <d v="2023-10-13T00:00:00"/>
    <x v="10"/>
    <n v="12"/>
    <s v="0"/>
    <s v="Returning"/>
    <s v="Direct"/>
    <s v="Credit Card"/>
    <s v="10"/>
    <x v="3"/>
    <x v="8"/>
    <n v="23341.63637502171"/>
  </r>
  <r>
    <s v="1737"/>
    <s v="nan"/>
    <n v="23193.6511101459"/>
    <n v="10"/>
    <d v="2024-09-03T00:00:00"/>
    <x v="48"/>
    <n v="43"/>
    <s v="0"/>
    <s v="VIP"/>
    <s v="In-Store"/>
    <s v="Credit Card"/>
    <s v="3"/>
    <x v="4"/>
    <x v="11"/>
    <n v="20874.285999131309"/>
  </r>
  <r>
    <s v="1738"/>
    <s v="North"/>
    <n v="0"/>
    <n v="5"/>
    <d v="2024-04-17T00:00:00"/>
    <x v="93"/>
    <n v="61"/>
    <s v="0"/>
    <s v="New"/>
    <s v="Online"/>
    <s v="Bank Transfer"/>
    <s v="3"/>
    <x v="0"/>
    <x v="3"/>
    <n v="0"/>
  </r>
  <r>
    <s v="1739"/>
    <s v="North"/>
    <n v="28167.1576615054"/>
    <n v="5"/>
    <d v="2024-07-29T00:00:00"/>
    <x v="25"/>
    <n v="31"/>
    <s v="0"/>
    <s v="Returning"/>
    <s v="Direct"/>
    <s v="Cash"/>
    <s v="1"/>
    <x v="6"/>
    <x v="9"/>
    <n v="26758.79977843013"/>
  </r>
  <r>
    <s v="1740"/>
    <s v="West"/>
    <n v="14268.2730349065"/>
    <n v="15"/>
    <d v="2023-06-24T00:00:00"/>
    <x v="23"/>
    <n v="91"/>
    <s v="0"/>
    <s v="New"/>
    <s v="Direct"/>
    <s v="Bank Transfer"/>
    <s v="5"/>
    <x v="1"/>
    <x v="16"/>
    <n v="12128.032079670525"/>
  </r>
  <r>
    <s v="1741"/>
    <s v="East"/>
    <n v="21513.177326195098"/>
    <n v="0"/>
    <d v="2023-12-04T00:00:00"/>
    <x v="75"/>
    <n v="96"/>
    <s v="0"/>
    <s v="New"/>
    <s v="In-Store"/>
    <s v="Credit Card"/>
    <s v="4"/>
    <x v="1"/>
    <x v="6"/>
    <n v="21513.177326195102"/>
  </r>
  <r>
    <s v="1742"/>
    <s v="South"/>
    <n v="16228.620749903201"/>
    <n v="10"/>
    <d v="2024-01-13T00:00:00"/>
    <x v="1"/>
    <n v="61"/>
    <s v="0"/>
    <s v="Returning"/>
    <s v="Online"/>
    <s v="Credit Card"/>
    <s v="2"/>
    <x v="1"/>
    <x v="18"/>
    <n v="14605.75867491288"/>
  </r>
  <r>
    <s v="1743"/>
    <s v="South"/>
    <n v="19679.308267035001"/>
    <n v="5"/>
    <d v="2023-05-17T00:00:00"/>
    <x v="48"/>
    <n v="74"/>
    <s v="0"/>
    <s v="New"/>
    <s v="Online"/>
    <s v="Bank Transfer"/>
    <s v="9"/>
    <x v="5"/>
    <x v="14"/>
    <n v="18695.342853683251"/>
  </r>
  <r>
    <s v="1744"/>
    <s v="North"/>
    <n v="21643.812051517401"/>
    <n v="15"/>
    <d v="2024-03-11T00:00:00"/>
    <x v="83"/>
    <n v="67"/>
    <s v="0"/>
    <s v="Returning"/>
    <s v="Online"/>
    <s v="Credit Card"/>
    <s v="3"/>
    <x v="4"/>
    <x v="12"/>
    <n v="18397.240243789791"/>
  </r>
  <r>
    <s v="1745"/>
    <s v="East"/>
    <n v="21606.786077251301"/>
    <n v="15"/>
    <d v="2023-11-06T00:00:00"/>
    <x v="13"/>
    <n v="91"/>
    <s v="1"/>
    <s v="Returning"/>
    <s v="Direct"/>
    <s v="Credit Card"/>
    <s v="8"/>
    <x v="4"/>
    <x v="15"/>
    <n v="18365.768165663605"/>
  </r>
  <r>
    <s v="1746"/>
    <s v="South"/>
    <n v="22109.6037711764"/>
    <n v="10"/>
    <d v="2023-07-29T00:00:00"/>
    <x v="86"/>
    <n v="35"/>
    <s v="0"/>
    <s v="Returning"/>
    <s v="In-Store"/>
    <s v="Bank Transfer"/>
    <s v="6"/>
    <x v="3"/>
    <x v="20"/>
    <n v="19898.643394058759"/>
  </r>
  <r>
    <s v="1747"/>
    <s v="East"/>
    <n v="28068.5563452932"/>
    <n v="10"/>
    <d v="2023-06-12T00:00:00"/>
    <x v="92"/>
    <n v="95"/>
    <s v="0"/>
    <s v="New"/>
    <s v="In-Store"/>
    <s v="Credit Card"/>
    <s v="5"/>
    <x v="0"/>
    <x v="16"/>
    <n v="25261.700710763878"/>
  </r>
  <r>
    <s v="1748"/>
    <s v="East"/>
    <n v="22267.671507569899"/>
    <n v="15"/>
    <d v="2023-09-04T00:00:00"/>
    <x v="8"/>
    <n v="15"/>
    <s v="1"/>
    <s v="Returning"/>
    <s v="Online"/>
    <s v="Cash"/>
    <s v="1"/>
    <x v="2"/>
    <x v="19"/>
    <n v="18927.520781434414"/>
  </r>
  <r>
    <s v="1749"/>
    <s v="North"/>
    <n v="18779.2168235467"/>
    <n v="5"/>
    <d v="2023-03-21T00:00:00"/>
    <x v="93"/>
    <n v="16"/>
    <s v="0"/>
    <s v="New"/>
    <s v="Direct"/>
    <s v="Bank Transfer"/>
    <s v="4"/>
    <x v="4"/>
    <x v="10"/>
    <n v="17840.255982369363"/>
  </r>
  <r>
    <s v="1750"/>
    <s v="South"/>
    <n v="24820.4358414417"/>
    <n v="15"/>
    <d v="2024-05-04T00:00:00"/>
    <x v="61"/>
    <n v="13"/>
    <s v="0"/>
    <s v="Returning"/>
    <s v="Online"/>
    <s v="Cash"/>
    <s v="3"/>
    <x v="6"/>
    <x v="1"/>
    <n v="21097.370465225446"/>
  </r>
  <r>
    <s v="1751"/>
    <s v="West"/>
    <n v="25947.3524446232"/>
    <n v="0"/>
    <d v="2024-01-08T00:00:00"/>
    <x v="23"/>
    <n v="35"/>
    <s v="0"/>
    <s v="Returning"/>
    <s v="In-Store"/>
    <s v="Credit Card"/>
    <s v="1"/>
    <x v="3"/>
    <x v="18"/>
    <n v="25947.3524446232"/>
  </r>
  <r>
    <s v="1752"/>
    <s v="North"/>
    <n v="13861.960924315001"/>
    <n v="0"/>
    <d v="2023-12-17T00:00:00"/>
    <x v="41"/>
    <n v="75"/>
    <s v="0"/>
    <s v="VIP"/>
    <s v="Direct"/>
    <s v="Credit Card"/>
    <s v="5"/>
    <x v="4"/>
    <x v="6"/>
    <n v="13861.960924315001"/>
  </r>
  <r>
    <s v="1753"/>
    <s v="South"/>
    <n v="22987.0003492492"/>
    <n v="10"/>
    <d v="2023-07-26T00:00:00"/>
    <x v="85"/>
    <n v="59"/>
    <s v="0"/>
    <s v="VIP"/>
    <s v="Online"/>
    <s v="Bank Transfer"/>
    <s v="6"/>
    <x v="4"/>
    <x v="20"/>
    <n v="20688.300314324279"/>
  </r>
  <r>
    <s v="1754"/>
    <s v="South"/>
    <n v="23505.863711554401"/>
    <n v="5"/>
    <d v="2023-05-10T00:00:00"/>
    <x v="67"/>
    <n v="21"/>
    <s v="0"/>
    <s v="VIP"/>
    <s v="Online"/>
    <s v="Credit Card"/>
    <s v="2"/>
    <x v="3"/>
    <x v="14"/>
    <n v="22330.57052597668"/>
  </r>
  <r>
    <s v="1755"/>
    <s v="South"/>
    <n v="18512.182483199998"/>
    <n v="5"/>
    <d v="2023-04-20T00:00:00"/>
    <x v="66"/>
    <n v="54"/>
    <s v="1"/>
    <s v="New"/>
    <s v="Direct"/>
    <s v="Bank Transfer"/>
    <s v="3"/>
    <x v="3"/>
    <x v="13"/>
    <n v="17586.573359039998"/>
  </r>
  <r>
    <s v="1756"/>
    <s v="South"/>
    <n v="26878.534066558001"/>
    <n v="0"/>
    <d v="2024-04-13T00:00:00"/>
    <x v="76"/>
    <n v="75"/>
    <s v="0"/>
    <s v="New"/>
    <s v="In-Store"/>
    <s v="Bank Transfer"/>
    <s v="6"/>
    <x v="5"/>
    <x v="3"/>
    <n v="26878.534066558001"/>
  </r>
  <r>
    <s v="1757"/>
    <s v="South"/>
    <n v="0"/>
    <n v="15"/>
    <d v="2023-05-18T00:00:00"/>
    <x v="56"/>
    <n v="30"/>
    <s v="0"/>
    <s v="Returning"/>
    <s v="Direct"/>
    <s v="Bank Transfer"/>
    <s v="4"/>
    <x v="4"/>
    <x v="14"/>
    <n v="0"/>
  </r>
  <r>
    <s v="1758"/>
    <s v="East"/>
    <n v="20627.882267357701"/>
    <n v="10"/>
    <d v="2023-06-05T00:00:00"/>
    <x v="89"/>
    <n v="48"/>
    <s v="0"/>
    <s v="Returning"/>
    <s v="Online"/>
    <s v="Bank Transfer"/>
    <s v="9"/>
    <x v="2"/>
    <x v="16"/>
    <n v="18565.094040621931"/>
  </r>
  <r>
    <s v="1759"/>
    <s v="North"/>
    <n v="19134.640878580602"/>
    <n v="15"/>
    <d v="2023-08-02T00:00:00"/>
    <x v="12"/>
    <n v="35"/>
    <s v="1"/>
    <s v="Returning"/>
    <s v="Online"/>
    <s v="Bank Transfer"/>
    <s v="5"/>
    <x v="6"/>
    <x v="17"/>
    <n v="16264.444746793512"/>
  </r>
  <r>
    <s v="1760"/>
    <s v="East"/>
    <n v="20077.895237907302"/>
    <n v="15"/>
    <d v="2024-03-24T00:00:00"/>
    <x v="29"/>
    <n v="86"/>
    <s v="0"/>
    <s v="Returning"/>
    <s v="Online"/>
    <s v="Cash"/>
    <s v="4"/>
    <x v="0"/>
    <x v="12"/>
    <n v="17066.210952221205"/>
  </r>
  <r>
    <s v="1761"/>
    <s v="West"/>
    <n v="0"/>
    <n v="15"/>
    <d v="2023-07-09T00:00:00"/>
    <x v="13"/>
    <n v="38"/>
    <s v="1"/>
    <s v="New"/>
    <s v="Online"/>
    <s v="Bank Transfer"/>
    <s v="2"/>
    <x v="0"/>
    <x v="20"/>
    <n v="0"/>
  </r>
  <r>
    <s v="1762"/>
    <s v="South"/>
    <n v="12799.745587028499"/>
    <n v="5"/>
    <d v="2024-06-14T00:00:00"/>
    <x v="43"/>
    <n v="31"/>
    <s v="0"/>
    <s v="Returning"/>
    <s v="In-Store"/>
    <s v="Cash"/>
    <s v="6"/>
    <x v="2"/>
    <x v="5"/>
    <n v="12159.758307677075"/>
  </r>
  <r>
    <s v="1763"/>
    <s v="North"/>
    <n v="27972.5253161248"/>
    <n v="0"/>
    <d v="2023-04-26T00:00:00"/>
    <x v="87"/>
    <n v="78"/>
    <s v="0"/>
    <s v="Returning"/>
    <s v="In-Store"/>
    <s v="Credit Card"/>
    <s v="10"/>
    <x v="3"/>
    <x v="13"/>
    <n v="27972.5253161248"/>
  </r>
  <r>
    <s v="1764"/>
    <s v="South"/>
    <n v="15765.193258408301"/>
    <n v="5"/>
    <d v="2023-08-01T00:00:00"/>
    <x v="67"/>
    <n v="24"/>
    <s v="0"/>
    <s v="VIP"/>
    <s v="Online"/>
    <s v="Bank Transfer"/>
    <s v="2"/>
    <x v="3"/>
    <x v="17"/>
    <n v="14976.933595487884"/>
  </r>
  <r>
    <s v="1765"/>
    <s v="North"/>
    <n v="0"/>
    <n v="0"/>
    <d v="2023-11-22T00:00:00"/>
    <x v="14"/>
    <n v="49"/>
    <s v="0"/>
    <s v="Returning"/>
    <s v="In-Store"/>
    <s v="Credit Card"/>
    <s v="7"/>
    <x v="3"/>
    <x v="15"/>
    <n v="0"/>
  </r>
  <r>
    <s v="1766"/>
    <s v="East"/>
    <n v="9233.0494319814206"/>
    <n v="10"/>
    <d v="2023-09-01T00:00:00"/>
    <x v="91"/>
    <n v="96"/>
    <s v="0"/>
    <s v="Returning"/>
    <s v="In-Store"/>
    <s v="Bank Transfer"/>
    <s v="3"/>
    <x v="4"/>
    <x v="19"/>
    <n v="8309.7444887832789"/>
  </r>
  <r>
    <s v="1767"/>
    <s v="North"/>
    <n v="16805.191261552402"/>
    <n v="10"/>
    <d v="2024-04-02T00:00:00"/>
    <x v="14"/>
    <n v="32"/>
    <s v="0"/>
    <s v="Returning"/>
    <s v="In-Store"/>
    <s v="Cash"/>
    <s v="9"/>
    <x v="3"/>
    <x v="3"/>
    <n v="15124.672135397161"/>
  </r>
  <r>
    <s v="1768"/>
    <s v="nan"/>
    <n v="13384.551032962499"/>
    <n v="15"/>
    <d v="2024-07-10T00:00:00"/>
    <x v="49"/>
    <n v="55"/>
    <s v="0"/>
    <s v="New"/>
    <s v="Online"/>
    <s v="Cash"/>
    <s v="5"/>
    <x v="3"/>
    <x v="9"/>
    <n v="11376.868378018124"/>
  </r>
  <r>
    <s v="1769"/>
    <s v="nan"/>
    <n v="28210.0758006818"/>
    <n v="0"/>
    <d v="2023-05-07T00:00:00"/>
    <x v="94"/>
    <n v="79"/>
    <s v="0"/>
    <s v="VIP"/>
    <s v="Direct"/>
    <s v="Cash"/>
    <s v="8"/>
    <x v="4"/>
    <x v="14"/>
    <n v="28210.0758006818"/>
  </r>
  <r>
    <s v="1770"/>
    <s v="North"/>
    <n v="25049.085446713099"/>
    <n v="0"/>
    <d v="2023-07-31T00:00:00"/>
    <x v="60"/>
    <n v="58"/>
    <s v="0"/>
    <s v="Returning"/>
    <s v="Direct"/>
    <s v="Credit Card"/>
    <s v="6"/>
    <x v="4"/>
    <x v="20"/>
    <n v="25049.085446713099"/>
  </r>
  <r>
    <s v="1771"/>
    <s v="North"/>
    <n v="16559.248274111302"/>
    <n v="0"/>
    <d v="2023-04-15T00:00:00"/>
    <x v="13"/>
    <n v="99"/>
    <s v="1"/>
    <s v="Returning"/>
    <s v="Direct"/>
    <s v="Bank Transfer"/>
    <s v="10"/>
    <x v="2"/>
    <x v="13"/>
    <n v="16559.248274111302"/>
  </r>
  <r>
    <s v="1772"/>
    <s v="North"/>
    <n v="31262.1790267215"/>
    <n v="15"/>
    <d v="2023-06-03T00:00:00"/>
    <x v="11"/>
    <n v="3"/>
    <s v="0"/>
    <s v="VIP"/>
    <s v="Online"/>
    <s v="Credit Card"/>
    <s v="8"/>
    <x v="5"/>
    <x v="16"/>
    <n v="26572.852172713276"/>
  </r>
  <r>
    <s v="1773"/>
    <s v="North"/>
    <n v="24908.827434957901"/>
    <n v="15"/>
    <d v="2024-07-28T00:00:00"/>
    <x v="71"/>
    <n v="80"/>
    <s v="0"/>
    <s v="Returning"/>
    <s v="In-Store"/>
    <s v="Cash"/>
    <s v="3"/>
    <x v="4"/>
    <x v="9"/>
    <n v="21172.503319714215"/>
  </r>
  <r>
    <s v="1774"/>
    <s v="West"/>
    <n v="18375.843082456799"/>
    <n v="10"/>
    <d v="2024-02-14T00:00:00"/>
    <x v="53"/>
    <n v="69"/>
    <s v="0"/>
    <s v="New"/>
    <s v="In-Store"/>
    <s v="Credit Card"/>
    <s v="3"/>
    <x v="6"/>
    <x v="0"/>
    <n v="16538.258774211117"/>
  </r>
  <r>
    <s v="1775"/>
    <s v="South"/>
    <n v="7502.9714256321304"/>
    <n v="5"/>
    <d v="2023-05-25T00:00:00"/>
    <x v="64"/>
    <n v="85"/>
    <s v="0"/>
    <s v="Returning"/>
    <s v="Online"/>
    <s v="Cash"/>
    <s v="5"/>
    <x v="3"/>
    <x v="14"/>
    <n v="7127.8228543505238"/>
  </r>
  <r>
    <s v="1776"/>
    <s v="North"/>
    <n v="31454.7128629537"/>
    <n v="0"/>
    <d v="2024-02-09T00:00:00"/>
    <x v="53"/>
    <n v="10"/>
    <s v="0"/>
    <s v="New"/>
    <s v="Online"/>
    <s v="Cash"/>
    <s v="10"/>
    <x v="5"/>
    <x v="0"/>
    <n v="31454.712862953704"/>
  </r>
  <r>
    <s v="1777"/>
    <s v="North"/>
    <n v="0"/>
    <n v="0"/>
    <d v="2023-12-21T00:00:00"/>
    <x v="87"/>
    <n v="83"/>
    <s v="0"/>
    <s v="New"/>
    <s v="Direct"/>
    <s v="Cash"/>
    <s v="3"/>
    <x v="0"/>
    <x v="6"/>
    <n v="0"/>
  </r>
  <r>
    <s v="1778"/>
    <s v="West"/>
    <n v="11773.006265215499"/>
    <n v="5"/>
    <d v="2023-10-15T00:00:00"/>
    <x v="2"/>
    <n v="25"/>
    <s v="0"/>
    <s v="Returning"/>
    <s v="Direct"/>
    <s v="Bank Transfer"/>
    <s v="8"/>
    <x v="2"/>
    <x v="8"/>
    <n v="11184.355951954725"/>
  </r>
  <r>
    <s v="1779"/>
    <s v="West"/>
    <n v="25112.852160048202"/>
    <n v="0"/>
    <d v="2023-05-05T00:00:00"/>
    <x v="15"/>
    <n v="68"/>
    <s v="0"/>
    <s v="VIP"/>
    <s v="Online"/>
    <s v="Bank Transfer"/>
    <s v="10"/>
    <x v="5"/>
    <x v="14"/>
    <n v="25112.852160048202"/>
  </r>
  <r>
    <s v="1780"/>
    <s v="East"/>
    <n v="32198.7620316963"/>
    <n v="15"/>
    <d v="2024-07-08T00:00:00"/>
    <x v="79"/>
    <n v="61"/>
    <s v="0"/>
    <s v="New"/>
    <s v="Direct"/>
    <s v="Cash"/>
    <s v="8"/>
    <x v="4"/>
    <x v="9"/>
    <n v="27368.947726941853"/>
  </r>
  <r>
    <s v="1781"/>
    <s v="North"/>
    <n v="26921.3640925525"/>
    <n v="15"/>
    <d v="2023-05-10T00:00:00"/>
    <x v="41"/>
    <n v="29"/>
    <s v="0"/>
    <s v="VIP"/>
    <s v="In-Store"/>
    <s v="Credit Card"/>
    <s v="2"/>
    <x v="3"/>
    <x v="14"/>
    <n v="22883.159478669622"/>
  </r>
  <r>
    <s v="1782"/>
    <s v="East"/>
    <n v="22819.545600261699"/>
    <n v="0"/>
    <d v="2024-09-16T00:00:00"/>
    <x v="69"/>
    <n v="19"/>
    <s v="0"/>
    <s v="Returning"/>
    <s v="Online"/>
    <s v="Credit Card"/>
    <s v="4"/>
    <x v="3"/>
    <x v="11"/>
    <n v="22819.545600261699"/>
  </r>
  <r>
    <s v="1783"/>
    <s v="West"/>
    <n v="22973.7717083264"/>
    <n v="15"/>
    <d v="2023-10-19T00:00:00"/>
    <x v="61"/>
    <n v="43"/>
    <s v="0"/>
    <s v="New"/>
    <s v="Online"/>
    <s v="Bank Transfer"/>
    <s v="10"/>
    <x v="3"/>
    <x v="8"/>
    <n v="19527.705952077442"/>
  </r>
  <r>
    <s v="1784"/>
    <s v="West"/>
    <n v="24267.077793901499"/>
    <n v="15"/>
    <d v="2024-06-13T00:00:00"/>
    <x v="35"/>
    <n v="66"/>
    <s v="0"/>
    <s v="Returning"/>
    <s v="In-Store"/>
    <s v="Cash"/>
    <s v="1"/>
    <x v="5"/>
    <x v="5"/>
    <n v="20627.016124816273"/>
  </r>
  <r>
    <s v="1785"/>
    <s v="South"/>
    <n v="23794.642948933801"/>
    <n v="0"/>
    <d v="2023-06-13T00:00:00"/>
    <x v="85"/>
    <n v="74"/>
    <s v="0"/>
    <s v="VIP"/>
    <s v="In-Store"/>
    <s v="Credit Card"/>
    <s v="4"/>
    <x v="3"/>
    <x v="16"/>
    <n v="23794.642948933804"/>
  </r>
  <r>
    <s v="1786"/>
    <s v="North"/>
    <n v="21405.9571198468"/>
    <n v="10"/>
    <d v="2023-12-04T00:00:00"/>
    <x v="33"/>
    <n v="61"/>
    <s v="0"/>
    <s v="Returning"/>
    <s v="In-Store"/>
    <s v="Cash"/>
    <s v="4"/>
    <x v="4"/>
    <x v="6"/>
    <n v="19265.361407862118"/>
  </r>
  <r>
    <s v="1787"/>
    <s v="East"/>
    <n v="20521.005519759299"/>
    <n v="5"/>
    <d v="2023-06-23T00:00:00"/>
    <x v="71"/>
    <n v="43"/>
    <s v="1"/>
    <s v="Returning"/>
    <s v="Direct"/>
    <s v="Credit Card"/>
    <s v="10"/>
    <x v="5"/>
    <x v="16"/>
    <n v="19494.955243771336"/>
  </r>
  <r>
    <s v="1788"/>
    <s v="West"/>
    <n v="19687.034360502301"/>
    <n v="15"/>
    <d v="2023-01-06T00:00:00"/>
    <x v="55"/>
    <n v="25"/>
    <s v="0"/>
    <s v="New"/>
    <s v="Online"/>
    <s v="Bank Transfer"/>
    <s v="9"/>
    <x v="3"/>
    <x v="4"/>
    <n v="16733.979206426957"/>
  </r>
  <r>
    <s v="1789"/>
    <s v="West"/>
    <n v="16230.1770556666"/>
    <n v="10"/>
    <d v="2024-04-30T00:00:00"/>
    <x v="65"/>
    <n v="20"/>
    <s v="0"/>
    <s v="Returning"/>
    <s v="Direct"/>
    <s v="Cash"/>
    <s v="3"/>
    <x v="0"/>
    <x v="3"/>
    <n v="14607.159350099941"/>
  </r>
  <r>
    <s v="1790"/>
    <s v="East"/>
    <n v="18596.6246156661"/>
    <n v="15"/>
    <d v="2024-08-28T00:00:00"/>
    <x v="27"/>
    <n v="48"/>
    <s v="0"/>
    <s v="Returning"/>
    <s v="In-Store"/>
    <s v="Cash"/>
    <s v="2"/>
    <x v="0"/>
    <x v="2"/>
    <n v="15807.130923316185"/>
  </r>
  <r>
    <s v="1791"/>
    <s v="South"/>
    <n v="0"/>
    <n v="15"/>
    <d v="2023-05-08T00:00:00"/>
    <x v="68"/>
    <n v="83"/>
    <s v="0"/>
    <s v="Returning"/>
    <s v="Direct"/>
    <s v="Credit Card"/>
    <s v="9"/>
    <x v="6"/>
    <x v="14"/>
    <n v="0"/>
  </r>
  <r>
    <s v="1792"/>
    <s v="nan"/>
    <n v="19508.301866026199"/>
    <n v="5"/>
    <d v="2023-02-07T00:00:00"/>
    <x v="52"/>
    <n v="87"/>
    <s v="0"/>
    <s v="New"/>
    <s v="In-Store"/>
    <s v="Credit Card"/>
    <s v="9"/>
    <x v="3"/>
    <x v="7"/>
    <n v="18532.886772724887"/>
  </r>
  <r>
    <s v="1793"/>
    <s v="North"/>
    <n v="15057.0444642454"/>
    <n v="15"/>
    <d v="2024-07-19T00:00:00"/>
    <x v="3"/>
    <n v="24"/>
    <s v="0"/>
    <s v="VIP"/>
    <s v="Direct"/>
    <s v="Credit Card"/>
    <s v="1"/>
    <x v="3"/>
    <x v="9"/>
    <n v="12798.487794608591"/>
  </r>
  <r>
    <s v="1794"/>
    <s v="West"/>
    <n v="14482.053413921099"/>
    <n v="5"/>
    <d v="2023-09-08T00:00:00"/>
    <x v="7"/>
    <n v="11"/>
    <s v="0"/>
    <s v="VIP"/>
    <s v="Direct"/>
    <s v="Cash"/>
    <s v="6"/>
    <x v="5"/>
    <x v="19"/>
    <n v="13757.950743225045"/>
  </r>
  <r>
    <s v="1795"/>
    <s v="North"/>
    <n v="20899.470755767299"/>
    <n v="5"/>
    <d v="2024-02-20T00:00:00"/>
    <x v="9"/>
    <n v="98"/>
    <s v="0"/>
    <s v="Returning"/>
    <s v="In-Store"/>
    <s v="Bank Transfer"/>
    <s v="10"/>
    <x v="5"/>
    <x v="0"/>
    <n v="19854.497217978937"/>
  </r>
  <r>
    <s v="1796"/>
    <s v="East"/>
    <n v="26960.011431722902"/>
    <n v="5"/>
    <d v="2023-03-17T00:00:00"/>
    <x v="22"/>
    <n v="55"/>
    <s v="0"/>
    <s v="New"/>
    <s v="Direct"/>
    <s v="Bank Transfer"/>
    <s v="8"/>
    <x v="1"/>
    <x v="10"/>
    <n v="25612.010860136757"/>
  </r>
  <r>
    <s v="1797"/>
    <s v="North"/>
    <n v="24591.583030011501"/>
    <n v="10"/>
    <d v="2023-12-19T00:00:00"/>
    <x v="31"/>
    <n v="28"/>
    <s v="0"/>
    <s v="Returning"/>
    <s v="Online"/>
    <s v="Credit Card"/>
    <s v="3"/>
    <x v="3"/>
    <x v="6"/>
    <n v="22132.424727010351"/>
  </r>
  <r>
    <s v="1798"/>
    <s v="East"/>
    <n v="12147.4969818841"/>
    <n v="0"/>
    <d v="2023-09-12T00:00:00"/>
    <x v="19"/>
    <n v="69"/>
    <s v="0"/>
    <s v="VIP"/>
    <s v="Direct"/>
    <s v="Bank Transfer"/>
    <s v="9"/>
    <x v="6"/>
    <x v="19"/>
    <n v="12147.496981884098"/>
  </r>
  <r>
    <s v="1799"/>
    <s v="North"/>
    <n v="15051.859317148301"/>
    <n v="10"/>
    <d v="2024-06-15T00:00:00"/>
    <x v="14"/>
    <n v="63"/>
    <s v="0"/>
    <s v="New"/>
    <s v="Direct"/>
    <s v="Credit Card"/>
    <s v="2"/>
    <x v="3"/>
    <x v="5"/>
    <n v="13546.673385433471"/>
  </r>
  <r>
    <s v="1800"/>
    <s v="East"/>
    <n v="24703.855939941001"/>
    <n v="0"/>
    <d v="2023-07-30T00:00:00"/>
    <x v="38"/>
    <n v="59"/>
    <s v="0"/>
    <s v="VIP"/>
    <s v="Online"/>
    <s v="Bank Transfer"/>
    <s v="6"/>
    <x v="4"/>
    <x v="20"/>
    <n v="24703.855939941001"/>
  </r>
  <r>
    <s v="1801"/>
    <s v="North"/>
    <n v="15087.563032308401"/>
    <n v="0"/>
    <d v="2023-06-19T00:00:00"/>
    <x v="33"/>
    <n v="5"/>
    <s v="0"/>
    <s v="VIP"/>
    <s v="In-Store"/>
    <s v="Cash"/>
    <s v="1"/>
    <x v="5"/>
    <x v="16"/>
    <n v="15087.563032308401"/>
  </r>
  <r>
    <s v="1802"/>
    <s v="South"/>
    <n v="18876.834250014799"/>
    <n v="5"/>
    <d v="2023-11-28T00:00:00"/>
    <x v="99"/>
    <n v="51"/>
    <s v="0"/>
    <s v="New"/>
    <s v="Online"/>
    <s v="Credit Card"/>
    <s v="7"/>
    <x v="3"/>
    <x v="15"/>
    <n v="17932.992537514059"/>
  </r>
  <r>
    <s v="1803"/>
    <s v="North"/>
    <n v="22750.2604951227"/>
    <n v="15"/>
    <d v="2024-03-19T00:00:00"/>
    <x v="50"/>
    <n v="21"/>
    <s v="0"/>
    <s v="New"/>
    <s v="Direct"/>
    <s v="Bank Transfer"/>
    <s v="3"/>
    <x v="5"/>
    <x v="12"/>
    <n v="19337.721420854294"/>
  </r>
  <r>
    <s v="1804"/>
    <s v="North"/>
    <n v="15158.277725681801"/>
    <n v="5"/>
    <d v="2023-11-02T00:00:00"/>
    <x v="34"/>
    <n v="12"/>
    <s v="0"/>
    <s v="Returning"/>
    <s v="In-Store"/>
    <s v="Cash"/>
    <s v="7"/>
    <x v="3"/>
    <x v="15"/>
    <n v="14400.363839397709"/>
  </r>
  <r>
    <s v="1805"/>
    <s v="South"/>
    <n v="20526.877530729798"/>
    <n v="15"/>
    <d v="2023-03-26T00:00:00"/>
    <x v="46"/>
    <n v="50"/>
    <s v="0"/>
    <s v="Returning"/>
    <s v="Direct"/>
    <s v="Bank Transfer"/>
    <s v="4"/>
    <x v="2"/>
    <x v="10"/>
    <n v="17447.845901120327"/>
  </r>
  <r>
    <s v="1806"/>
    <s v="West"/>
    <n v="13329.8725254089"/>
    <n v="0"/>
    <d v="2024-03-17T00:00:00"/>
    <x v="32"/>
    <n v="4"/>
    <s v="0"/>
    <s v="VIP"/>
    <s v="Direct"/>
    <s v="Cash"/>
    <s v="9"/>
    <x v="5"/>
    <x v="12"/>
    <n v="13329.8725254089"/>
  </r>
  <r>
    <s v="1807"/>
    <s v="West"/>
    <n v="0"/>
    <n v="5"/>
    <d v="2024-08-07T00:00:00"/>
    <x v="49"/>
    <n v="42"/>
    <s v="0"/>
    <s v="New"/>
    <s v="Online"/>
    <s v="Cash"/>
    <s v="5"/>
    <x v="6"/>
    <x v="2"/>
    <n v="0"/>
  </r>
  <r>
    <s v="1808"/>
    <s v="North"/>
    <n v="21598.909670712601"/>
    <n v="15"/>
    <d v="2024-08-19T00:00:00"/>
    <x v="86"/>
    <n v="84"/>
    <s v="0"/>
    <s v="New"/>
    <s v="Online"/>
    <s v="Bank Transfer"/>
    <s v="3"/>
    <x v="2"/>
    <x v="2"/>
    <n v="18359.073220105711"/>
  </r>
  <r>
    <s v="1809"/>
    <s v="South"/>
    <n v="12035.031332341599"/>
    <n v="10"/>
    <d v="2023-08-15T00:00:00"/>
    <x v="87"/>
    <n v="38"/>
    <s v="0"/>
    <s v="Returning"/>
    <s v="In-Store"/>
    <s v="Bank Transfer"/>
    <s v="8"/>
    <x v="4"/>
    <x v="17"/>
    <n v="10831.528199107439"/>
  </r>
  <r>
    <s v="1810"/>
    <s v="North"/>
    <n v="22202.373689801901"/>
    <n v="15"/>
    <d v="2024-01-08T00:00:00"/>
    <x v="84"/>
    <n v="25"/>
    <s v="0"/>
    <s v="VIP"/>
    <s v="In-Store"/>
    <s v="Cash"/>
    <s v="6"/>
    <x v="3"/>
    <x v="18"/>
    <n v="18872.017636331617"/>
  </r>
  <r>
    <s v="1811"/>
    <s v="East"/>
    <n v="19901.8110053665"/>
    <n v="5"/>
    <d v="2023-11-14T00:00:00"/>
    <x v="59"/>
    <n v="14"/>
    <s v="0"/>
    <s v="VIP"/>
    <s v="In-Store"/>
    <s v="Cash"/>
    <s v="2"/>
    <x v="1"/>
    <x v="15"/>
    <n v="18906.720455098177"/>
  </r>
  <r>
    <s v="1812"/>
    <s v="East"/>
    <n v="22762.4497720857"/>
    <n v="10"/>
    <d v="2024-02-03T00:00:00"/>
    <x v="31"/>
    <n v="75"/>
    <s v="0"/>
    <s v="Returning"/>
    <s v="Direct"/>
    <s v="Cash"/>
    <s v="3"/>
    <x v="4"/>
    <x v="0"/>
    <n v="20486.204794877129"/>
  </r>
  <r>
    <s v="1813"/>
    <s v="North"/>
    <n v="21119.570670323301"/>
    <n v="15"/>
    <d v="2023-03-09T00:00:00"/>
    <x v="76"/>
    <n v="32"/>
    <s v="0"/>
    <s v="New"/>
    <s v="Online"/>
    <s v="Credit Card"/>
    <s v="8"/>
    <x v="5"/>
    <x v="10"/>
    <n v="17951.635069774806"/>
  </r>
  <r>
    <s v="1814"/>
    <s v="West"/>
    <n v="26820.702149869201"/>
    <n v="15"/>
    <d v="2023-07-04T00:00:00"/>
    <x v="28"/>
    <n v="11"/>
    <s v="0"/>
    <s v="Returning"/>
    <s v="Online"/>
    <s v="Cash"/>
    <s v="10"/>
    <x v="2"/>
    <x v="20"/>
    <n v="22797.596827388821"/>
  </r>
  <r>
    <s v="1815"/>
    <s v="West"/>
    <n v="20626.122513239501"/>
    <n v="15"/>
    <d v="2024-06-10T00:00:00"/>
    <x v="16"/>
    <n v="61"/>
    <s v="0"/>
    <s v="Returning"/>
    <s v="Online"/>
    <s v="Credit Card"/>
    <s v="7"/>
    <x v="4"/>
    <x v="5"/>
    <n v="17532.204136253578"/>
  </r>
  <r>
    <s v="1816"/>
    <s v="North"/>
    <n v="17852.9722943737"/>
    <n v="15"/>
    <d v="2024-02-06T00:00:00"/>
    <x v="95"/>
    <n v="18"/>
    <s v="0"/>
    <s v="Returning"/>
    <s v="In-Store"/>
    <s v="Cash"/>
    <s v="10"/>
    <x v="6"/>
    <x v="0"/>
    <n v="15175.026450217645"/>
  </r>
  <r>
    <s v="1817"/>
    <s v="North"/>
    <n v="20611.4875151614"/>
    <n v="15"/>
    <d v="2024-02-07T00:00:00"/>
    <x v="51"/>
    <n v="27"/>
    <s v="0"/>
    <s v="Returning"/>
    <s v="Online"/>
    <s v="Credit Card"/>
    <s v="6"/>
    <x v="1"/>
    <x v="0"/>
    <n v="17519.76438788719"/>
  </r>
  <r>
    <s v="1818"/>
    <s v="East"/>
    <n v="22716.490145181899"/>
    <n v="10"/>
    <d v="2023-04-04T00:00:00"/>
    <x v="81"/>
    <n v="55"/>
    <s v="0"/>
    <s v="New"/>
    <s v="Online"/>
    <s v="Cash"/>
    <s v="1"/>
    <x v="5"/>
    <x v="13"/>
    <n v="20444.84113066371"/>
  </r>
  <r>
    <s v="1819"/>
    <s v="West"/>
    <n v="20244.300351628499"/>
    <n v="0"/>
    <d v="2023-07-28T00:00:00"/>
    <x v="15"/>
    <n v="54"/>
    <s v="0"/>
    <s v="Returning"/>
    <s v="Online"/>
    <s v="Cash"/>
    <s v="9"/>
    <x v="2"/>
    <x v="20"/>
    <n v="20244.300351628499"/>
  </r>
  <r>
    <s v="1820"/>
    <s v="North"/>
    <n v="20202.958456019402"/>
    <n v="10"/>
    <d v="2023-09-22T00:00:00"/>
    <x v="11"/>
    <n v="82"/>
    <s v="1"/>
    <s v="New"/>
    <s v="In-Store"/>
    <s v="Cash"/>
    <s v="3"/>
    <x v="4"/>
    <x v="19"/>
    <n v="18182.662610417461"/>
  </r>
  <r>
    <s v="1821"/>
    <s v="East"/>
    <n v="16490.041560966201"/>
    <n v="10"/>
    <d v="2023-05-14T00:00:00"/>
    <x v="15"/>
    <n v="87"/>
    <s v="0"/>
    <s v="Returning"/>
    <s v="Online"/>
    <s v="Bank Transfer"/>
    <s v="5"/>
    <x v="2"/>
    <x v="14"/>
    <n v="14841.037404869581"/>
  </r>
  <r>
    <s v="1822"/>
    <s v="West"/>
    <n v="16685.4954122452"/>
    <n v="10"/>
    <d v="2023-07-08T00:00:00"/>
    <x v="53"/>
    <n v="75"/>
    <s v="0"/>
    <s v="VIP"/>
    <s v="In-Store"/>
    <s v="Bank Transfer"/>
    <s v="7"/>
    <x v="2"/>
    <x v="20"/>
    <n v="15016.945871020678"/>
  </r>
  <r>
    <s v="1823"/>
    <s v="South"/>
    <n v="12986.973641001499"/>
    <n v="0"/>
    <d v="2023-09-11T00:00:00"/>
    <x v="89"/>
    <n v="21"/>
    <s v="0"/>
    <s v="New"/>
    <s v="Online"/>
    <s v="Cash"/>
    <s v="7"/>
    <x v="4"/>
    <x v="19"/>
    <n v="12986.973641001498"/>
  </r>
  <r>
    <s v="1824"/>
    <s v="East"/>
    <n v="28747.8837159346"/>
    <n v="5"/>
    <d v="2023-03-07T00:00:00"/>
    <x v="80"/>
    <n v="44"/>
    <s v="0"/>
    <s v="VIP"/>
    <s v="Online"/>
    <s v="Credit Card"/>
    <s v="3"/>
    <x v="0"/>
    <x v="10"/>
    <n v="27310.489530137871"/>
  </r>
  <r>
    <s v="1825"/>
    <s v="West"/>
    <n v="13780.683823043501"/>
    <n v="0"/>
    <d v="2024-02-10T00:00:00"/>
    <x v="53"/>
    <n v="5"/>
    <s v="0"/>
    <s v="Returning"/>
    <s v="Online"/>
    <s v="Credit Card"/>
    <s v="4"/>
    <x v="3"/>
    <x v="0"/>
    <n v="13780.683823043502"/>
  </r>
  <r>
    <s v="1826"/>
    <s v="West"/>
    <n v="16535.4740110204"/>
    <n v="10"/>
    <d v="2024-04-27T00:00:00"/>
    <x v="0"/>
    <n v="87"/>
    <s v="0"/>
    <s v="Returning"/>
    <s v="In-Store"/>
    <s v="Cash"/>
    <s v="10"/>
    <x v="5"/>
    <x v="3"/>
    <n v="14881.926609918361"/>
  </r>
  <r>
    <s v="1827"/>
    <s v="East"/>
    <n v="16407.963672154001"/>
    <n v="15"/>
    <d v="2023-11-20T00:00:00"/>
    <x v="16"/>
    <n v="41"/>
    <s v="0"/>
    <s v="Returning"/>
    <s v="In-Store"/>
    <s v="Bank Transfer"/>
    <s v="7"/>
    <x v="5"/>
    <x v="15"/>
    <n v="13946.769121330903"/>
  </r>
  <r>
    <s v="1828"/>
    <s v="South"/>
    <n v="24474.621884722201"/>
    <n v="15"/>
    <d v="2024-07-22T00:00:00"/>
    <x v="20"/>
    <n v="59"/>
    <s v="1"/>
    <s v="New"/>
    <s v="Online"/>
    <s v="Credit Card"/>
    <s v="8"/>
    <x v="1"/>
    <x v="9"/>
    <n v="20803.428602013868"/>
  </r>
  <r>
    <s v="1829"/>
    <s v="East"/>
    <n v="18525.251608539798"/>
    <n v="10"/>
    <d v="2024-07-07T00:00:00"/>
    <x v="69"/>
    <n v="89"/>
    <s v="0"/>
    <s v="VIP"/>
    <s v="Direct"/>
    <s v="Bank Transfer"/>
    <s v="2"/>
    <x v="1"/>
    <x v="9"/>
    <n v="16672.726447685818"/>
  </r>
  <r>
    <s v="1830"/>
    <s v="West"/>
    <n v="0"/>
    <n v="15"/>
    <d v="2023-05-13T00:00:00"/>
    <x v="31"/>
    <n v="54"/>
    <s v="0"/>
    <s v="New"/>
    <s v="In-Store"/>
    <s v="Credit Card"/>
    <s v="9"/>
    <x v="1"/>
    <x v="14"/>
    <n v="0"/>
  </r>
  <r>
    <s v="1831"/>
    <s v="North"/>
    <n v="16632.546878780598"/>
    <n v="10"/>
    <d v="2024-08-18T00:00:00"/>
    <x v="8"/>
    <n v="74"/>
    <s v="0"/>
    <s v="New"/>
    <s v="In-Store"/>
    <s v="Cash"/>
    <s v="7"/>
    <x v="5"/>
    <x v="2"/>
    <n v="14969.292190902539"/>
  </r>
  <r>
    <s v="1832"/>
    <s v="North"/>
    <n v="21394.970811119001"/>
    <n v="15"/>
    <d v="2023-09-30T00:00:00"/>
    <x v="25"/>
    <n v="22"/>
    <s v="0"/>
    <s v="Returning"/>
    <s v="Online"/>
    <s v="Bank Transfer"/>
    <s v="8"/>
    <x v="2"/>
    <x v="19"/>
    <n v="18185.72518945115"/>
  </r>
  <r>
    <s v="1833"/>
    <s v="East"/>
    <n v="15823.2647337012"/>
    <n v="0"/>
    <d v="2023-09-08T00:00:00"/>
    <x v="91"/>
    <n v="83"/>
    <s v="0"/>
    <s v="VIP"/>
    <s v="Direct"/>
    <s v="Credit Card"/>
    <s v="6"/>
    <x v="1"/>
    <x v="19"/>
    <n v="15823.264733701199"/>
  </r>
  <r>
    <s v="1834"/>
    <s v="West"/>
    <n v="30725.745638866902"/>
    <n v="5"/>
    <d v="2024-06-10T00:00:00"/>
    <x v="2"/>
    <n v="65"/>
    <s v="0"/>
    <s v="Returning"/>
    <s v="Online"/>
    <s v="Cash"/>
    <s v="6"/>
    <x v="4"/>
    <x v="5"/>
    <n v="29189.458356923558"/>
  </r>
  <r>
    <s v="1835"/>
    <s v="North"/>
    <n v="14062.0079048524"/>
    <n v="5"/>
    <d v="2024-08-07T00:00:00"/>
    <x v="91"/>
    <n v="64"/>
    <s v="0"/>
    <s v="New"/>
    <s v="In-Store"/>
    <s v="Cash"/>
    <s v="9"/>
    <x v="3"/>
    <x v="2"/>
    <n v="13358.90750960978"/>
  </r>
  <r>
    <s v="1836"/>
    <s v="West"/>
    <n v="21549.1035511351"/>
    <n v="0"/>
    <d v="2023-03-10T00:00:00"/>
    <x v="79"/>
    <n v="71"/>
    <s v="0"/>
    <s v="Returning"/>
    <s v="In-Store"/>
    <s v="Cash"/>
    <s v="4"/>
    <x v="6"/>
    <x v="10"/>
    <n v="21549.1035511351"/>
  </r>
  <r>
    <s v="1837"/>
    <s v="East"/>
    <n v="23168.884404660399"/>
    <n v="0"/>
    <d v="2024-07-21T00:00:00"/>
    <x v="24"/>
    <n v="4"/>
    <s v="0"/>
    <s v="VIP"/>
    <s v="Online"/>
    <s v="Bank Transfer"/>
    <s v="5"/>
    <x v="5"/>
    <x v="9"/>
    <n v="23168.884404660399"/>
  </r>
  <r>
    <s v="1838"/>
    <s v="North"/>
    <n v="22068.995487257402"/>
    <n v="10"/>
    <d v="2023-08-10T00:00:00"/>
    <x v="26"/>
    <n v="65"/>
    <s v="1"/>
    <s v="Returning"/>
    <s v="Online"/>
    <s v="Bank Transfer"/>
    <s v="9"/>
    <x v="4"/>
    <x v="17"/>
    <n v="19862.09593853166"/>
  </r>
  <r>
    <s v="1839"/>
    <s v="West"/>
    <n v="19073.561705611399"/>
    <n v="10"/>
    <d v="2023-02-01T00:00:00"/>
    <x v="60"/>
    <n v="15"/>
    <s v="0"/>
    <s v="VIP"/>
    <s v="Direct"/>
    <s v="Cash"/>
    <s v="1"/>
    <x v="3"/>
    <x v="7"/>
    <n v="17166.20553505026"/>
  </r>
  <r>
    <s v="1840"/>
    <s v="North"/>
    <n v="19350.896501332802"/>
    <n v="10"/>
    <d v="2024-08-07T00:00:00"/>
    <x v="54"/>
    <n v="76"/>
    <s v="1"/>
    <s v="VIP"/>
    <s v="Direct"/>
    <s v="Bank Transfer"/>
    <s v="4"/>
    <x v="3"/>
    <x v="2"/>
    <n v="17415.806851199522"/>
  </r>
  <r>
    <s v="1841"/>
    <s v="East"/>
    <n v="20219.057359895502"/>
    <n v="15"/>
    <d v="2023-03-08T00:00:00"/>
    <x v="42"/>
    <n v="22"/>
    <s v="0"/>
    <s v="Returning"/>
    <s v="In-Store"/>
    <s v="Credit Card"/>
    <s v="7"/>
    <x v="0"/>
    <x v="10"/>
    <n v="17186.198755911177"/>
  </r>
  <r>
    <s v="1842"/>
    <s v="West"/>
    <n v="19264.989991857499"/>
    <n v="10"/>
    <d v="2023-09-25T00:00:00"/>
    <x v="55"/>
    <n v="86"/>
    <s v="0"/>
    <s v="New"/>
    <s v="Direct"/>
    <s v="Cash"/>
    <s v="9"/>
    <x v="4"/>
    <x v="19"/>
    <n v="17338.490992671748"/>
  </r>
  <r>
    <s v="1843"/>
    <s v="North"/>
    <n v="24819.395583974499"/>
    <n v="0"/>
    <d v="2023-08-26T00:00:00"/>
    <x v="88"/>
    <n v="47"/>
    <s v="0"/>
    <s v="Returning"/>
    <s v="Direct"/>
    <s v="Cash"/>
    <s v="10"/>
    <x v="5"/>
    <x v="17"/>
    <n v="24819.395583974499"/>
  </r>
  <r>
    <s v="1844"/>
    <s v="East"/>
    <n v="31052.615007956701"/>
    <n v="5"/>
    <d v="2023-01-17T00:00:00"/>
    <x v="16"/>
    <n v="81"/>
    <s v="0"/>
    <s v="New"/>
    <s v="In-Store"/>
    <s v="Bank Transfer"/>
    <s v="6"/>
    <x v="1"/>
    <x v="4"/>
    <n v="29499.98425755887"/>
  </r>
  <r>
    <s v="1845"/>
    <s v="North"/>
    <n v="17212.541074960802"/>
    <n v="15"/>
    <d v="2024-09-09T00:00:00"/>
    <x v="21"/>
    <n v="93"/>
    <s v="0"/>
    <s v="New"/>
    <s v="In-Store"/>
    <s v="Cash"/>
    <s v="8"/>
    <x v="2"/>
    <x v="11"/>
    <n v="14630.659913716681"/>
  </r>
  <r>
    <s v="1846"/>
    <s v="North"/>
    <n v="13150.9851021046"/>
    <n v="10"/>
    <d v="2024-05-25T00:00:00"/>
    <x v="25"/>
    <n v="46"/>
    <s v="0"/>
    <s v="Returning"/>
    <s v="In-Store"/>
    <s v="Credit Card"/>
    <s v="9"/>
    <x v="1"/>
    <x v="1"/>
    <n v="11835.886591894139"/>
  </r>
  <r>
    <s v="1847"/>
    <s v="South"/>
    <n v="19558.589758243699"/>
    <n v="15"/>
    <d v="2024-05-05T00:00:00"/>
    <x v="88"/>
    <n v="14"/>
    <s v="0"/>
    <s v="New"/>
    <s v="In-Store"/>
    <s v="Bank Transfer"/>
    <s v="10"/>
    <x v="3"/>
    <x v="1"/>
    <n v="16624.801294507146"/>
  </r>
  <r>
    <s v="1848"/>
    <s v="South"/>
    <n v="32898.546688271497"/>
    <n v="15"/>
    <d v="2023-06-23T00:00:00"/>
    <x v="51"/>
    <n v="50"/>
    <s v="0"/>
    <s v="New"/>
    <s v="Online"/>
    <s v="Bank Transfer"/>
    <s v="4"/>
    <x v="3"/>
    <x v="16"/>
    <n v="27963.764685030772"/>
  </r>
  <r>
    <s v="1849"/>
    <s v="East"/>
    <n v="15981.6271601513"/>
    <n v="10"/>
    <d v="2024-02-18T00:00:00"/>
    <x v="32"/>
    <n v="20"/>
    <s v="0"/>
    <s v="Returning"/>
    <s v="In-Store"/>
    <s v="Cash"/>
    <s v="1"/>
    <x v="6"/>
    <x v="0"/>
    <n v="14383.464444136171"/>
  </r>
  <r>
    <s v="1850"/>
    <s v="South"/>
    <n v="28195.584027220299"/>
    <n v="15"/>
    <d v="2023-08-05T00:00:00"/>
    <x v="39"/>
    <n v="50"/>
    <s v="0"/>
    <s v="Returning"/>
    <s v="In-Store"/>
    <s v="Cash"/>
    <s v="8"/>
    <x v="1"/>
    <x v="17"/>
    <n v="23966.246423137254"/>
  </r>
  <r>
    <s v="1851"/>
    <s v="East"/>
    <n v="28388.504070382201"/>
    <n v="5"/>
    <d v="2023-07-11T00:00:00"/>
    <x v="7"/>
    <n v="33"/>
    <s v="0"/>
    <s v="Returning"/>
    <s v="In-Store"/>
    <s v="Cash"/>
    <s v="2"/>
    <x v="0"/>
    <x v="20"/>
    <n v="26969.078866863092"/>
  </r>
  <r>
    <s v="1852"/>
    <s v="South"/>
    <n v="17232.05879146"/>
    <n v="0"/>
    <d v="2023-11-02T00:00:00"/>
    <x v="45"/>
    <n v="59"/>
    <s v="0"/>
    <s v="New"/>
    <s v="Direct"/>
    <s v="Bank Transfer"/>
    <s v="1"/>
    <x v="3"/>
    <x v="15"/>
    <n v="17232.05879146"/>
  </r>
  <r>
    <s v="1853"/>
    <s v="North"/>
    <n v="22844.915395926299"/>
    <n v="0"/>
    <d v="2024-06-15T00:00:00"/>
    <x v="90"/>
    <n v="43"/>
    <s v="0"/>
    <s v="VIP"/>
    <s v="In-Store"/>
    <s v="Cash"/>
    <s v="7"/>
    <x v="3"/>
    <x v="5"/>
    <n v="22844.915395926299"/>
  </r>
  <r>
    <s v="1854"/>
    <s v="East"/>
    <n v="28141.983115642601"/>
    <n v="5"/>
    <d v="2023-12-13T00:00:00"/>
    <x v="66"/>
    <n v="79"/>
    <s v="0"/>
    <s v="New"/>
    <s v="Online"/>
    <s v="Credit Card"/>
    <s v="10"/>
    <x v="2"/>
    <x v="6"/>
    <n v="26734.883959860472"/>
  </r>
  <r>
    <s v="1855"/>
    <s v="East"/>
    <n v="18104.361295062499"/>
    <n v="15"/>
    <d v="2023-12-22T00:00:00"/>
    <x v="2"/>
    <n v="12"/>
    <s v="1"/>
    <s v="VIP"/>
    <s v="Online"/>
    <s v="Cash"/>
    <s v="9"/>
    <x v="2"/>
    <x v="6"/>
    <n v="15388.707100803123"/>
  </r>
  <r>
    <s v="1856"/>
    <s v="North"/>
    <n v="18982.0981994881"/>
    <n v="10"/>
    <d v="2023-06-18T00:00:00"/>
    <x v="78"/>
    <n v="40"/>
    <s v="0"/>
    <s v="Returning"/>
    <s v="In-Store"/>
    <s v="Cash"/>
    <s v="9"/>
    <x v="6"/>
    <x v="16"/>
    <n v="17083.88837953929"/>
  </r>
  <r>
    <s v="1857"/>
    <s v="East"/>
    <n v="17091.595430256701"/>
    <n v="15"/>
    <d v="2023-12-12T00:00:00"/>
    <x v="11"/>
    <n v="20"/>
    <s v="0"/>
    <s v="VIP"/>
    <s v="Online"/>
    <s v="Bank Transfer"/>
    <s v="3"/>
    <x v="4"/>
    <x v="6"/>
    <n v="14527.856115718196"/>
  </r>
  <r>
    <s v="1858"/>
    <s v="East"/>
    <n v="14926.216346535601"/>
    <n v="5"/>
    <d v="2024-01-15T00:00:00"/>
    <x v="36"/>
    <n v="94"/>
    <s v="0"/>
    <s v="Returning"/>
    <s v="Direct"/>
    <s v="Cash"/>
    <s v="6"/>
    <x v="6"/>
    <x v="18"/>
    <n v="14179.905529208821"/>
  </r>
  <r>
    <s v="1859"/>
    <s v="South"/>
    <n v="16753.6122746699"/>
    <n v="15"/>
    <d v="2023-04-16T00:00:00"/>
    <x v="62"/>
    <n v="38"/>
    <s v="0"/>
    <s v="Returning"/>
    <s v="In-Store"/>
    <s v="Bank Transfer"/>
    <s v="7"/>
    <x v="6"/>
    <x v="13"/>
    <n v="14240.570433469415"/>
  </r>
  <r>
    <s v="1860"/>
    <s v="East"/>
    <n v="13880.298666188701"/>
    <n v="0"/>
    <d v="2023-07-21T00:00:00"/>
    <x v="80"/>
    <n v="3"/>
    <s v="0"/>
    <s v="VIP"/>
    <s v="Online"/>
    <s v="Cash"/>
    <s v="10"/>
    <x v="2"/>
    <x v="20"/>
    <n v="13880.298666188701"/>
  </r>
  <r>
    <s v="1861"/>
    <s v="West"/>
    <n v="20170.417341296099"/>
    <n v="15"/>
    <d v="2023-01-01T00:00:00"/>
    <x v="24"/>
    <n v="28"/>
    <s v="0"/>
    <s v="Returning"/>
    <s v="Online"/>
    <s v="Credit Card"/>
    <s v="9"/>
    <x v="1"/>
    <x v="4"/>
    <n v="17144.854740101684"/>
  </r>
  <r>
    <s v="1862"/>
    <s v="North"/>
    <n v="16150.133844706699"/>
    <n v="5"/>
    <d v="2024-04-30T00:00:00"/>
    <x v="23"/>
    <n v="56"/>
    <s v="0"/>
    <s v="VIP"/>
    <s v="In-Store"/>
    <s v="Credit Card"/>
    <s v="2"/>
    <x v="1"/>
    <x v="3"/>
    <n v="15342.627152471363"/>
  </r>
  <r>
    <s v="1863"/>
    <s v="South"/>
    <n v="0"/>
    <n v="0"/>
    <d v="2023-06-16T00:00:00"/>
    <x v="66"/>
    <n v="90"/>
    <s v="0"/>
    <s v="Returning"/>
    <s v="Online"/>
    <s v="Bank Transfer"/>
    <s v="8"/>
    <x v="1"/>
    <x v="16"/>
    <n v="0"/>
  </r>
  <r>
    <s v="1864"/>
    <s v="South"/>
    <n v="12220.5217689818"/>
    <n v="15"/>
    <d v="2023-02-09T00:00:00"/>
    <x v="81"/>
    <n v="94"/>
    <s v="0"/>
    <s v="New"/>
    <s v="In-Store"/>
    <s v="Bank Transfer"/>
    <s v="7"/>
    <x v="4"/>
    <x v="7"/>
    <n v="10387.443503634531"/>
  </r>
  <r>
    <s v="1865"/>
    <s v="West"/>
    <n v="21654.401161072201"/>
    <n v="15"/>
    <d v="2023-11-04T00:00:00"/>
    <x v="37"/>
    <n v="13"/>
    <s v="0"/>
    <s v="New"/>
    <s v="Online"/>
    <s v="Cash"/>
    <s v="4"/>
    <x v="2"/>
    <x v="15"/>
    <n v="18406.240986911369"/>
  </r>
  <r>
    <s v="1866"/>
    <s v="North"/>
    <n v="0"/>
    <n v="0"/>
    <d v="2024-03-07T00:00:00"/>
    <x v="77"/>
    <n v="77"/>
    <s v="0"/>
    <s v="Returning"/>
    <s v="Direct"/>
    <s v="Cash"/>
    <s v="2"/>
    <x v="0"/>
    <x v="12"/>
    <n v="0"/>
  </r>
  <r>
    <s v="1867"/>
    <s v="North"/>
    <n v="10031.3217871427"/>
    <n v="10"/>
    <d v="2023-07-24T00:00:00"/>
    <x v="99"/>
    <n v="66"/>
    <s v="1"/>
    <s v="Returning"/>
    <s v="Online"/>
    <s v="Credit Card"/>
    <s v="8"/>
    <x v="5"/>
    <x v="20"/>
    <n v="9028.1896084284308"/>
  </r>
  <r>
    <s v="1868"/>
    <s v="South"/>
    <n v="21870.282849237799"/>
    <n v="0"/>
    <d v="2024-06-23T00:00:00"/>
    <x v="2"/>
    <n v="37"/>
    <s v="0"/>
    <s v="VIP"/>
    <s v="Online"/>
    <s v="Cash"/>
    <s v="5"/>
    <x v="5"/>
    <x v="5"/>
    <n v="21870.282849237799"/>
  </r>
  <r>
    <s v="1869"/>
    <s v="East"/>
    <n v="26138.344962366398"/>
    <n v="10"/>
    <d v="2023-05-08T00:00:00"/>
    <x v="96"/>
    <n v="49"/>
    <s v="0"/>
    <s v="New"/>
    <s v="In-Store"/>
    <s v="Credit Card"/>
    <s v="6"/>
    <x v="0"/>
    <x v="14"/>
    <n v="23524.510466129756"/>
  </r>
  <r>
    <s v="1870"/>
    <s v="South"/>
    <n v="13951.794906543901"/>
    <n v="5"/>
    <d v="2023-05-22T00:00:00"/>
    <x v="78"/>
    <n v="66"/>
    <s v="0"/>
    <s v="VIP"/>
    <s v="Online"/>
    <s v="Bank Transfer"/>
    <s v="7"/>
    <x v="1"/>
    <x v="14"/>
    <n v="13254.205161216705"/>
  </r>
  <r>
    <s v="1871"/>
    <s v="North"/>
    <n v="28362.861934188499"/>
    <n v="5"/>
    <d v="2023-04-07T00:00:00"/>
    <x v="8"/>
    <n v="36"/>
    <s v="0"/>
    <s v="Returning"/>
    <s v="In-Store"/>
    <s v="Cash"/>
    <s v="10"/>
    <x v="5"/>
    <x v="13"/>
    <n v="26944.718837479075"/>
  </r>
  <r>
    <s v="1872"/>
    <s v="West"/>
    <n v="22095.0950468302"/>
    <n v="0"/>
    <d v="2024-02-15T00:00:00"/>
    <x v="17"/>
    <n v="54"/>
    <s v="1"/>
    <s v="Returning"/>
    <s v="Direct"/>
    <s v="Bank Transfer"/>
    <s v="1"/>
    <x v="4"/>
    <x v="0"/>
    <n v="22095.0950468302"/>
  </r>
  <r>
    <s v="1873"/>
    <s v="South"/>
    <n v="16474.940721207899"/>
    <n v="0"/>
    <d v="2024-02-04T00:00:00"/>
    <x v="53"/>
    <n v="26"/>
    <s v="0"/>
    <s v="VIP"/>
    <s v="In-Store"/>
    <s v="Cash"/>
    <s v="8"/>
    <x v="2"/>
    <x v="0"/>
    <n v="16474.940721207899"/>
  </r>
  <r>
    <s v="1874"/>
    <s v="North"/>
    <n v="19721.154611711401"/>
    <n v="5"/>
    <d v="2023-10-22T00:00:00"/>
    <x v="6"/>
    <n v="75"/>
    <s v="0"/>
    <s v="Returning"/>
    <s v="In-Store"/>
    <s v="Credit Card"/>
    <s v="4"/>
    <x v="5"/>
    <x v="8"/>
    <n v="18735.096881125832"/>
  </r>
  <r>
    <s v="1875"/>
    <s v="South"/>
    <n v="22791.6345626086"/>
    <n v="10"/>
    <d v="2023-05-18T00:00:00"/>
    <x v="3"/>
    <n v="72"/>
    <s v="0"/>
    <s v="New"/>
    <s v="Online"/>
    <s v="Bank Transfer"/>
    <s v="9"/>
    <x v="4"/>
    <x v="14"/>
    <n v="20512.471106347741"/>
  </r>
  <r>
    <s v="1876"/>
    <s v="East"/>
    <n v="0"/>
    <n v="5"/>
    <d v="2023-05-05T00:00:00"/>
    <x v="45"/>
    <n v="40"/>
    <s v="0"/>
    <s v="VIP"/>
    <s v="Direct"/>
    <s v="Bank Transfer"/>
    <s v="1"/>
    <x v="2"/>
    <x v="14"/>
    <n v="0"/>
  </r>
  <r>
    <s v="1877"/>
    <s v="South"/>
    <n v="22693.779962231802"/>
    <n v="0"/>
    <d v="2024-05-20T00:00:00"/>
    <x v="19"/>
    <n v="43"/>
    <s v="0"/>
    <s v="New"/>
    <s v="In-Store"/>
    <s v="Cash"/>
    <s v="2"/>
    <x v="4"/>
    <x v="1"/>
    <n v="22693.779962231802"/>
  </r>
  <r>
    <s v="1878"/>
    <s v="South"/>
    <n v="15396.632034603101"/>
    <n v="5"/>
    <d v="2023-05-09T00:00:00"/>
    <x v="94"/>
    <n v="22"/>
    <s v="0"/>
    <s v="New"/>
    <s v="Online"/>
    <s v="Bank Transfer"/>
    <s v="6"/>
    <x v="0"/>
    <x v="14"/>
    <n v="14626.800432872944"/>
  </r>
  <r>
    <s v="1879"/>
    <s v="North"/>
    <n v="20846.804120180299"/>
    <n v="0"/>
    <d v="2024-09-26T00:00:00"/>
    <x v="28"/>
    <n v="20"/>
    <s v="1"/>
    <s v="New"/>
    <s v="Online"/>
    <s v="Credit Card"/>
    <s v="10"/>
    <x v="6"/>
    <x v="11"/>
    <n v="20846.804120180299"/>
  </r>
  <r>
    <s v="1880"/>
    <s v="North"/>
    <n v="12931.427515475099"/>
    <n v="0"/>
    <d v="2024-02-17T00:00:00"/>
    <x v="50"/>
    <n v="8"/>
    <s v="0"/>
    <s v="VIP"/>
    <s v="In-Store"/>
    <s v="Bank Transfer"/>
    <s v="1"/>
    <x v="0"/>
    <x v="0"/>
    <n v="12931.427515475101"/>
  </r>
  <r>
    <s v="1881"/>
    <s v="North"/>
    <n v="19443.8696932565"/>
    <n v="5"/>
    <d v="2023-05-29T00:00:00"/>
    <x v="36"/>
    <n v="29"/>
    <s v="0"/>
    <s v="Returning"/>
    <s v="Online"/>
    <s v="Bank Transfer"/>
    <s v="4"/>
    <x v="5"/>
    <x v="14"/>
    <n v="18471.676208593675"/>
  </r>
  <r>
    <s v="1882"/>
    <s v="South"/>
    <n v="15480.461792676"/>
    <n v="10"/>
    <d v="2023-03-31T00:00:00"/>
    <x v="2"/>
    <n v="40"/>
    <s v="0"/>
    <s v="New"/>
    <s v="In-Store"/>
    <s v="Cash"/>
    <s v="8"/>
    <x v="2"/>
    <x v="10"/>
    <n v="13932.415613408401"/>
  </r>
  <r>
    <s v="1883"/>
    <s v="nan"/>
    <n v="16322.3502870511"/>
    <n v="15"/>
    <d v="2024-03-27T00:00:00"/>
    <x v="8"/>
    <n v="90"/>
    <s v="0"/>
    <s v="New"/>
    <s v="In-Store"/>
    <s v="Bank Transfer"/>
    <s v="10"/>
    <x v="4"/>
    <x v="12"/>
    <n v="13873.997743993434"/>
  </r>
  <r>
    <s v="1884"/>
    <s v="West"/>
    <n v="26180.465876052102"/>
    <n v="5"/>
    <d v="2023-11-14T00:00:00"/>
    <x v="74"/>
    <n v="30"/>
    <s v="0"/>
    <s v="New"/>
    <s v="In-Store"/>
    <s v="Cash"/>
    <s v="5"/>
    <x v="5"/>
    <x v="15"/>
    <n v="24871.442582249496"/>
  </r>
  <r>
    <s v="1885"/>
    <s v="West"/>
    <n v="25456.5506029713"/>
    <n v="15"/>
    <d v="2023-12-20T00:00:00"/>
    <x v="45"/>
    <n v="81"/>
    <s v="0"/>
    <s v="Returning"/>
    <s v="Direct"/>
    <s v="Cash"/>
    <s v="9"/>
    <x v="5"/>
    <x v="6"/>
    <n v="21638.068012525608"/>
  </r>
  <r>
    <s v="1886"/>
    <s v="North"/>
    <n v="23045.690604535801"/>
    <n v="5"/>
    <d v="2023-02-05T00:00:00"/>
    <x v="49"/>
    <n v="84"/>
    <s v="0"/>
    <s v="Returning"/>
    <s v="In-Store"/>
    <s v="Bank Transfer"/>
    <s v="6"/>
    <x v="6"/>
    <x v="7"/>
    <n v="21893.406074309009"/>
  </r>
  <r>
    <s v="1887"/>
    <s v="North"/>
    <n v="14538.4361766371"/>
    <n v="15"/>
    <d v="2024-08-17T00:00:00"/>
    <x v="52"/>
    <n v="55"/>
    <s v="0"/>
    <s v="VIP"/>
    <s v="Online"/>
    <s v="Credit Card"/>
    <s v="1"/>
    <x v="1"/>
    <x v="2"/>
    <n v="12357.670750141535"/>
  </r>
  <r>
    <s v="1888"/>
    <s v="South"/>
    <n v="18417.957751525901"/>
    <n v="10"/>
    <d v="2023-11-18T00:00:00"/>
    <x v="0"/>
    <n v="16"/>
    <s v="0"/>
    <s v="Returning"/>
    <s v="Direct"/>
    <s v="Cash"/>
    <s v="6"/>
    <x v="5"/>
    <x v="15"/>
    <n v="16576.161976373311"/>
  </r>
  <r>
    <s v="1889"/>
    <s v="West"/>
    <n v="26065.488499895899"/>
    <n v="10"/>
    <d v="2023-04-01T00:00:00"/>
    <x v="37"/>
    <n v="46"/>
    <s v="0"/>
    <s v="VIP"/>
    <s v="Online"/>
    <s v="Bank Transfer"/>
    <s v="6"/>
    <x v="6"/>
    <x v="13"/>
    <n v="23458.939649906308"/>
  </r>
  <r>
    <s v="1890"/>
    <s v="North"/>
    <n v="20708.584568199502"/>
    <n v="5"/>
    <d v="2024-04-05T00:00:00"/>
    <x v="98"/>
    <n v="62"/>
    <s v="0"/>
    <s v="VIP"/>
    <s v="Direct"/>
    <s v="Cash"/>
    <s v="6"/>
    <x v="2"/>
    <x v="3"/>
    <n v="19673.155339789526"/>
  </r>
  <r>
    <s v="1891"/>
    <s v="East"/>
    <n v="31596.647699908401"/>
    <n v="0"/>
    <d v="2024-01-08T00:00:00"/>
    <x v="86"/>
    <n v="7"/>
    <s v="0"/>
    <s v="VIP"/>
    <s v="Direct"/>
    <s v="Credit Card"/>
    <s v="8"/>
    <x v="2"/>
    <x v="18"/>
    <n v="31596.647699908401"/>
  </r>
  <r>
    <s v="1892"/>
    <s v="East"/>
    <n v="21966.5891969718"/>
    <n v="15"/>
    <d v="2024-04-14T00:00:00"/>
    <x v="17"/>
    <n v="80"/>
    <s v="0"/>
    <s v="VIP"/>
    <s v="Direct"/>
    <s v="Credit Card"/>
    <s v="6"/>
    <x v="4"/>
    <x v="3"/>
    <n v="18671.600817426028"/>
  </r>
  <r>
    <s v="1893"/>
    <s v="North"/>
    <n v="20960.245582450101"/>
    <n v="0"/>
    <d v="2023-12-10T00:00:00"/>
    <x v="46"/>
    <n v="45"/>
    <s v="0"/>
    <s v="VIP"/>
    <s v="Direct"/>
    <s v="Cash"/>
    <s v="5"/>
    <x v="1"/>
    <x v="6"/>
    <n v="20960.245582450101"/>
  </r>
  <r>
    <s v="1894"/>
    <s v="North"/>
    <n v="18454.4176789874"/>
    <n v="0"/>
    <d v="2024-02-13T00:00:00"/>
    <x v="62"/>
    <n v="59"/>
    <s v="0"/>
    <s v="New"/>
    <s v="Online"/>
    <s v="Credit Card"/>
    <s v="2"/>
    <x v="6"/>
    <x v="0"/>
    <n v="18454.4176789874"/>
  </r>
  <r>
    <s v="1895"/>
    <s v="West"/>
    <n v="20667.704523911401"/>
    <n v="0"/>
    <d v="2023-03-09T00:00:00"/>
    <x v="31"/>
    <n v="56"/>
    <s v="0"/>
    <s v="Returning"/>
    <s v="In-Store"/>
    <s v="Bank Transfer"/>
    <s v="4"/>
    <x v="0"/>
    <x v="10"/>
    <n v="20667.704523911401"/>
  </r>
  <r>
    <s v="1896"/>
    <s v="West"/>
    <n v="19237.650818097201"/>
    <n v="10"/>
    <d v="2023-04-15T00:00:00"/>
    <x v="61"/>
    <n v="48"/>
    <s v="1"/>
    <s v="New"/>
    <s v="Online"/>
    <s v="Bank Transfer"/>
    <s v="10"/>
    <x v="2"/>
    <x v="13"/>
    <n v="17313.885736287481"/>
  </r>
  <r>
    <s v="1897"/>
    <s v="South"/>
    <n v="23540.543383442899"/>
    <n v="5"/>
    <d v="2023-05-17T00:00:00"/>
    <x v="27"/>
    <n v="27"/>
    <s v="0"/>
    <s v="VIP"/>
    <s v="In-Store"/>
    <s v="Cash"/>
    <s v="5"/>
    <x v="1"/>
    <x v="14"/>
    <n v="22363.516214270756"/>
  </r>
  <r>
    <s v="1898"/>
    <s v="West"/>
    <n v="24783.511583972901"/>
    <n v="5"/>
    <d v="2023-02-14T00:00:00"/>
    <x v="92"/>
    <n v="53"/>
    <s v="0"/>
    <s v="Returning"/>
    <s v="Online"/>
    <s v="Credit Card"/>
    <s v="10"/>
    <x v="4"/>
    <x v="7"/>
    <n v="23544.336004774254"/>
  </r>
  <r>
    <s v="1899"/>
    <s v="East"/>
    <n v="0"/>
    <n v="10"/>
    <d v="2024-04-01T00:00:00"/>
    <x v="0"/>
    <n v="87"/>
    <s v="0"/>
    <s v="New"/>
    <s v="Direct"/>
    <s v="Bank Transfer"/>
    <s v="4"/>
    <x v="0"/>
    <x v="3"/>
    <n v="0"/>
  </r>
  <r>
    <s v="1900"/>
    <s v="East"/>
    <n v="13343.8352322111"/>
    <n v="10"/>
    <d v="2024-02-29T00:00:00"/>
    <x v="28"/>
    <n v="88"/>
    <s v="0"/>
    <s v="New"/>
    <s v="Direct"/>
    <s v="Bank Transfer"/>
    <s v="2"/>
    <x v="2"/>
    <x v="0"/>
    <n v="12009.451708989991"/>
  </r>
  <r>
    <s v="1901"/>
    <s v="North"/>
    <n v="10818.9731344835"/>
    <n v="5"/>
    <d v="2024-01-05T00:00:00"/>
    <x v="90"/>
    <n v="73"/>
    <s v="0"/>
    <s v="VIP"/>
    <s v="In-Store"/>
    <s v="Bank Transfer"/>
    <s v="7"/>
    <x v="2"/>
    <x v="18"/>
    <n v="10278.024477759325"/>
  </r>
  <r>
    <s v="1902"/>
    <s v="West"/>
    <n v="22539.956634562699"/>
    <n v="0"/>
    <d v="2023-02-26T00:00:00"/>
    <x v="76"/>
    <n v="35"/>
    <s v="1"/>
    <s v="New"/>
    <s v="In-Store"/>
    <s v="Cash"/>
    <s v="10"/>
    <x v="4"/>
    <x v="7"/>
    <n v="22539.956634562699"/>
  </r>
  <r>
    <s v="1903"/>
    <s v="South"/>
    <n v="14483.1669691306"/>
    <n v="15"/>
    <d v="2024-05-07T00:00:00"/>
    <x v="27"/>
    <n v="51"/>
    <s v="0"/>
    <s v="New"/>
    <s v="Online"/>
    <s v="Cash"/>
    <s v="10"/>
    <x v="4"/>
    <x v="1"/>
    <n v="12310.691923761009"/>
  </r>
  <r>
    <s v="1904"/>
    <s v="East"/>
    <n v="9235.5470352375796"/>
    <n v="15"/>
    <d v="2024-07-11T00:00:00"/>
    <x v="2"/>
    <n v="84"/>
    <s v="1"/>
    <s v="New"/>
    <s v="In-Store"/>
    <s v="Bank Transfer"/>
    <s v="2"/>
    <x v="3"/>
    <x v="9"/>
    <n v="7850.214979951943"/>
  </r>
  <r>
    <s v="1905"/>
    <s v="nan"/>
    <n v="21942.8930226548"/>
    <n v="15"/>
    <d v="2023-05-25T00:00:00"/>
    <x v="52"/>
    <n v="37"/>
    <s v="1"/>
    <s v="New"/>
    <s v="Online"/>
    <s v="Bank Transfer"/>
    <s v="1"/>
    <x v="5"/>
    <x v="14"/>
    <n v="18651.45906925658"/>
  </r>
  <r>
    <s v="1906"/>
    <s v="South"/>
    <n v="32464.9975871639"/>
    <n v="0"/>
    <d v="2023-02-19T00:00:00"/>
    <x v="43"/>
    <n v="81"/>
    <s v="0"/>
    <s v="New"/>
    <s v="In-Store"/>
    <s v="Credit Card"/>
    <s v="5"/>
    <x v="5"/>
    <x v="7"/>
    <n v="32464.9975871639"/>
  </r>
  <r>
    <s v="1907"/>
    <s v="South"/>
    <n v="19969.645442300502"/>
    <n v="5"/>
    <d v="2024-01-23T00:00:00"/>
    <x v="33"/>
    <n v="95"/>
    <s v="0"/>
    <s v="VIP"/>
    <s v="In-Store"/>
    <s v="Credit Card"/>
    <s v="1"/>
    <x v="0"/>
    <x v="18"/>
    <n v="18971.163170185475"/>
  </r>
  <r>
    <s v="1908"/>
    <s v="nan"/>
    <n v="24192.4538722582"/>
    <n v="10"/>
    <d v="2023-08-11T00:00:00"/>
    <x v="9"/>
    <n v="57"/>
    <s v="0"/>
    <s v="VIP"/>
    <s v="In-Store"/>
    <s v="Credit Card"/>
    <s v="1"/>
    <x v="5"/>
    <x v="17"/>
    <n v="21773.208485032381"/>
  </r>
  <r>
    <s v="1909"/>
    <s v="East"/>
    <n v="20409.1467927378"/>
    <n v="5"/>
    <d v="2024-06-21T00:00:00"/>
    <x v="30"/>
    <n v="8"/>
    <s v="0"/>
    <s v="New"/>
    <s v="Direct"/>
    <s v="Cash"/>
    <s v="1"/>
    <x v="0"/>
    <x v="5"/>
    <n v="19388.689453100909"/>
  </r>
  <r>
    <s v="1910"/>
    <s v="South"/>
    <n v="19505.551734044198"/>
    <n v="0"/>
    <d v="2024-09-17T00:00:00"/>
    <x v="29"/>
    <n v="79"/>
    <s v="0"/>
    <s v="VIP"/>
    <s v="Direct"/>
    <s v="Bank Transfer"/>
    <s v="6"/>
    <x v="1"/>
    <x v="11"/>
    <n v="19505.551734044198"/>
  </r>
  <r>
    <s v="1911"/>
    <s v="East"/>
    <n v="24595.382414938798"/>
    <n v="10"/>
    <d v="2024-07-24T00:00:00"/>
    <x v="3"/>
    <n v="95"/>
    <s v="0"/>
    <s v="VIP"/>
    <s v="Online"/>
    <s v="Cash"/>
    <s v="9"/>
    <x v="2"/>
    <x v="9"/>
    <n v="22135.844173444919"/>
  </r>
  <r>
    <s v="1912"/>
    <s v="North"/>
    <n v="18548.627279056702"/>
    <n v="0"/>
    <d v="2023-06-06T00:00:00"/>
    <x v="38"/>
    <n v="94"/>
    <s v="0"/>
    <s v="Returning"/>
    <s v="In-Store"/>
    <s v="Bank Transfer"/>
    <s v="10"/>
    <x v="3"/>
    <x v="16"/>
    <n v="18548.627279056702"/>
  </r>
  <r>
    <s v="1913"/>
    <s v="North"/>
    <n v="21336.961570359501"/>
    <n v="15"/>
    <d v="2023-06-23T00:00:00"/>
    <x v="86"/>
    <n v="20"/>
    <s v="0"/>
    <s v="New"/>
    <s v="Online"/>
    <s v="Credit Card"/>
    <s v="1"/>
    <x v="3"/>
    <x v="16"/>
    <n v="18136.417334805577"/>
  </r>
  <r>
    <s v="1914"/>
    <s v="South"/>
    <n v="21608.489030979999"/>
    <n v="15"/>
    <d v="2023-09-14T00:00:00"/>
    <x v="34"/>
    <n v="53"/>
    <s v="0"/>
    <s v="VIP"/>
    <s v="In-Store"/>
    <s v="Credit Card"/>
    <s v="5"/>
    <x v="2"/>
    <x v="19"/>
    <n v="18367.215676332999"/>
  </r>
  <r>
    <s v="1915"/>
    <s v="West"/>
    <n v="16659.5477317847"/>
    <n v="0"/>
    <d v="2024-03-02T00:00:00"/>
    <x v="75"/>
    <n v="12"/>
    <s v="0"/>
    <s v="VIP"/>
    <s v="Direct"/>
    <s v="Credit Card"/>
    <s v="9"/>
    <x v="4"/>
    <x v="12"/>
    <n v="16659.5477317847"/>
  </r>
  <r>
    <s v="1916"/>
    <s v="South"/>
    <n v="24960.211747682599"/>
    <n v="10"/>
    <d v="2023-03-15T00:00:00"/>
    <x v="96"/>
    <n v="49"/>
    <s v="0"/>
    <s v="New"/>
    <s v="Direct"/>
    <s v="Credit Card"/>
    <s v="9"/>
    <x v="6"/>
    <x v="10"/>
    <n v="22464.190572914336"/>
  </r>
  <r>
    <s v="1917"/>
    <s v="South"/>
    <n v="19125.201216522899"/>
    <n v="10"/>
    <d v="2023-10-05T00:00:00"/>
    <x v="48"/>
    <n v="17"/>
    <s v="0"/>
    <s v="Returning"/>
    <s v="In-Store"/>
    <s v="Bank Transfer"/>
    <s v="1"/>
    <x v="6"/>
    <x v="8"/>
    <n v="17212.681094870608"/>
  </r>
  <r>
    <s v="1918"/>
    <s v="West"/>
    <n v="16221.2742025357"/>
    <n v="5"/>
    <d v="2023-12-04T00:00:00"/>
    <x v="96"/>
    <n v="64"/>
    <s v="0"/>
    <s v="New"/>
    <s v="In-Store"/>
    <s v="Credit Card"/>
    <s v="8"/>
    <x v="5"/>
    <x v="6"/>
    <n v="15410.210492408916"/>
  </r>
  <r>
    <s v="1919"/>
    <s v="West"/>
    <n v="22682.549217852"/>
    <n v="15"/>
    <d v="2023-10-09T00:00:00"/>
    <x v="86"/>
    <n v="42"/>
    <s v="0"/>
    <s v="Returning"/>
    <s v="Direct"/>
    <s v="Bank Transfer"/>
    <s v="1"/>
    <x v="4"/>
    <x v="8"/>
    <n v="19280.166835174201"/>
  </r>
  <r>
    <s v="1920"/>
    <s v="West"/>
    <n v="15507.6600910448"/>
    <n v="5"/>
    <d v="2023-04-20T00:00:00"/>
    <x v="4"/>
    <n v="94"/>
    <s v="0"/>
    <s v="New"/>
    <s v="Direct"/>
    <s v="Bank Transfer"/>
    <s v="8"/>
    <x v="0"/>
    <x v="13"/>
    <n v="14732.277086492561"/>
  </r>
  <r>
    <s v="1921"/>
    <s v="North"/>
    <n v="20140.9057868456"/>
    <n v="5"/>
    <d v="2023-01-10T00:00:00"/>
    <x v="92"/>
    <n v="29"/>
    <s v="0"/>
    <s v="New"/>
    <s v="Online"/>
    <s v="Cash"/>
    <s v="1"/>
    <x v="1"/>
    <x v="4"/>
    <n v="19133.860497503319"/>
  </r>
  <r>
    <s v="1922"/>
    <s v="East"/>
    <n v="19954.405016778899"/>
    <n v="0"/>
    <d v="2024-09-05T00:00:00"/>
    <x v="29"/>
    <n v="19"/>
    <s v="0"/>
    <s v="New"/>
    <s v="Direct"/>
    <s v="Credit Card"/>
    <s v="5"/>
    <x v="3"/>
    <x v="11"/>
    <n v="19954.405016778899"/>
  </r>
  <r>
    <s v="1923"/>
    <s v="North"/>
    <n v="25429.4778291578"/>
    <n v="0"/>
    <d v="2024-04-24T00:00:00"/>
    <x v="94"/>
    <n v="11"/>
    <s v="0"/>
    <s v="New"/>
    <s v="In-Store"/>
    <s v="Credit Card"/>
    <s v="8"/>
    <x v="5"/>
    <x v="3"/>
    <n v="25429.477829157797"/>
  </r>
  <r>
    <s v="1924"/>
    <s v="East"/>
    <n v="22373.4911643997"/>
    <n v="5"/>
    <d v="2024-07-26T00:00:00"/>
    <x v="84"/>
    <n v="98"/>
    <s v="0"/>
    <s v="Returning"/>
    <s v="Online"/>
    <s v="Cash"/>
    <s v="6"/>
    <x v="2"/>
    <x v="9"/>
    <n v="21254.816606179713"/>
  </r>
  <r>
    <s v="1925"/>
    <s v="North"/>
    <n v="19874.8652062742"/>
    <n v="15"/>
    <d v="2023-02-05T00:00:00"/>
    <x v="72"/>
    <n v="50"/>
    <s v="0"/>
    <s v="Returning"/>
    <s v="In-Store"/>
    <s v="Bank Transfer"/>
    <s v="9"/>
    <x v="4"/>
    <x v="7"/>
    <n v="16893.635425333072"/>
  </r>
  <r>
    <s v="1926"/>
    <s v="East"/>
    <n v="24088.8314960014"/>
    <n v="0"/>
    <d v="2024-01-12T00:00:00"/>
    <x v="8"/>
    <n v="71"/>
    <s v="0"/>
    <s v="VIP"/>
    <s v="Online"/>
    <s v="Credit Card"/>
    <s v="1"/>
    <x v="3"/>
    <x v="18"/>
    <n v="24088.8314960014"/>
  </r>
  <r>
    <s v="1927"/>
    <s v="North"/>
    <n v="26951.037745086502"/>
    <n v="5"/>
    <d v="2023-03-07T00:00:00"/>
    <x v="56"/>
    <n v="58"/>
    <s v="0"/>
    <s v="New"/>
    <s v="In-Store"/>
    <s v="Bank Transfer"/>
    <s v="9"/>
    <x v="0"/>
    <x v="10"/>
    <n v="25603.485857832176"/>
  </r>
  <r>
    <s v="1928"/>
    <s v="West"/>
    <n v="22789.051531759302"/>
    <n v="5"/>
    <d v="2023-06-30T00:00:00"/>
    <x v="2"/>
    <n v="34"/>
    <s v="0"/>
    <s v="Returning"/>
    <s v="Direct"/>
    <s v="Cash"/>
    <s v="1"/>
    <x v="0"/>
    <x v="16"/>
    <n v="21649.598955171336"/>
  </r>
  <r>
    <s v="1929"/>
    <s v="South"/>
    <n v="20051.7630992169"/>
    <n v="5"/>
    <d v="2024-03-25T00:00:00"/>
    <x v="15"/>
    <n v="20"/>
    <s v="0"/>
    <s v="Returning"/>
    <s v="In-Store"/>
    <s v="Bank Transfer"/>
    <s v="10"/>
    <x v="6"/>
    <x v="12"/>
    <n v="19049.174944256054"/>
  </r>
  <r>
    <s v="1930"/>
    <s v="North"/>
    <n v="13440.818838249201"/>
    <n v="5"/>
    <d v="2023-11-26T00:00:00"/>
    <x v="27"/>
    <n v="50"/>
    <s v="0"/>
    <s v="Returning"/>
    <s v="Online"/>
    <s v="Credit Card"/>
    <s v="10"/>
    <x v="5"/>
    <x v="15"/>
    <n v="12768.77789633674"/>
  </r>
  <r>
    <s v="1931"/>
    <s v="East"/>
    <n v="14674.431684623099"/>
    <n v="5"/>
    <d v="2024-01-30T00:00:00"/>
    <x v="34"/>
    <n v="88"/>
    <s v="0"/>
    <s v="New"/>
    <s v="In-Store"/>
    <s v="Bank Transfer"/>
    <s v="3"/>
    <x v="2"/>
    <x v="18"/>
    <n v="13940.710100391945"/>
  </r>
  <r>
    <s v="1932"/>
    <s v="West"/>
    <n v="18473.876478226601"/>
    <n v="5"/>
    <d v="2023-06-26T00:00:00"/>
    <x v="13"/>
    <n v="10"/>
    <s v="0"/>
    <s v="VIP"/>
    <s v="Online"/>
    <s v="Bank Transfer"/>
    <s v="1"/>
    <x v="3"/>
    <x v="16"/>
    <n v="17550.182654315271"/>
  </r>
  <r>
    <s v="1933"/>
    <s v="North"/>
    <n v="16952.4389892035"/>
    <n v="0"/>
    <d v="2024-07-18T00:00:00"/>
    <x v="55"/>
    <n v="32"/>
    <s v="0"/>
    <s v="Returning"/>
    <s v="In-Store"/>
    <s v="Credit Card"/>
    <s v="3"/>
    <x v="1"/>
    <x v="9"/>
    <n v="16952.4389892035"/>
  </r>
  <r>
    <s v="1934"/>
    <s v="North"/>
    <n v="19065.143485072698"/>
    <n v="15"/>
    <d v="2024-01-26T00:00:00"/>
    <x v="45"/>
    <n v="52"/>
    <s v="0"/>
    <s v="New"/>
    <s v="Direct"/>
    <s v="Credit Card"/>
    <s v="2"/>
    <x v="0"/>
    <x v="18"/>
    <n v="16205.371962311794"/>
  </r>
  <r>
    <s v="1935"/>
    <s v="West"/>
    <n v="20283.249624485499"/>
    <n v="5"/>
    <d v="2024-04-23T00:00:00"/>
    <x v="52"/>
    <n v="15"/>
    <s v="0"/>
    <s v="Returning"/>
    <s v="Direct"/>
    <s v="Bank Transfer"/>
    <s v="2"/>
    <x v="3"/>
    <x v="3"/>
    <n v="19269.087143261222"/>
  </r>
  <r>
    <s v="1936"/>
    <s v="North"/>
    <n v="22648.463771783601"/>
    <n v="10"/>
    <d v="2023-06-21T00:00:00"/>
    <x v="56"/>
    <n v="84"/>
    <s v="0"/>
    <s v="Returning"/>
    <s v="In-Store"/>
    <s v="Bank Transfer"/>
    <s v="9"/>
    <x v="2"/>
    <x v="16"/>
    <n v="20383.61739460524"/>
  </r>
  <r>
    <s v="1937"/>
    <s v="South"/>
    <n v="19647.5061097045"/>
    <n v="0"/>
    <d v="2024-06-15T00:00:00"/>
    <x v="3"/>
    <n v="3"/>
    <s v="0"/>
    <s v="VIP"/>
    <s v="In-Store"/>
    <s v="Cash"/>
    <s v="8"/>
    <x v="3"/>
    <x v="5"/>
    <n v="19647.5061097045"/>
  </r>
  <r>
    <s v="1938"/>
    <s v="North"/>
    <n v="22432.508219130999"/>
    <n v="0"/>
    <d v="2023-09-12T00:00:00"/>
    <x v="26"/>
    <n v="37"/>
    <s v="0"/>
    <s v="Returning"/>
    <s v="In-Store"/>
    <s v="Credit Card"/>
    <s v="1"/>
    <x v="5"/>
    <x v="19"/>
    <n v="22432.508219130999"/>
  </r>
  <r>
    <s v="1939"/>
    <s v="South"/>
    <n v="20322.3720740506"/>
    <n v="5"/>
    <d v="2023-11-17T00:00:00"/>
    <x v="37"/>
    <n v="40"/>
    <s v="0"/>
    <s v="Returning"/>
    <s v="Online"/>
    <s v="Bank Transfer"/>
    <s v="4"/>
    <x v="6"/>
    <x v="15"/>
    <n v="19306.253470348067"/>
  </r>
  <r>
    <s v="1940"/>
    <s v="South"/>
    <n v="10122.667168230601"/>
    <n v="0"/>
    <d v="2023-02-24T00:00:00"/>
    <x v="78"/>
    <n v="72"/>
    <s v="0"/>
    <s v="New"/>
    <s v="In-Store"/>
    <s v="Credit Card"/>
    <s v="1"/>
    <x v="3"/>
    <x v="7"/>
    <n v="10122.667168230601"/>
  </r>
  <r>
    <s v="1941"/>
    <s v="West"/>
    <n v="15303.3230309062"/>
    <n v="5"/>
    <d v="2023-07-23T00:00:00"/>
    <x v="73"/>
    <n v="40"/>
    <s v="0"/>
    <s v="New"/>
    <s v="In-Store"/>
    <s v="Cash"/>
    <s v="1"/>
    <x v="4"/>
    <x v="20"/>
    <n v="14538.156879360889"/>
  </r>
  <r>
    <s v="1942"/>
    <s v="North"/>
    <n v="19279.562221391901"/>
    <n v="15"/>
    <d v="2023-01-20T00:00:00"/>
    <x v="66"/>
    <n v="56"/>
    <s v="0"/>
    <s v="VIP"/>
    <s v="Online"/>
    <s v="Bank Transfer"/>
    <s v="4"/>
    <x v="6"/>
    <x v="4"/>
    <n v="16387.627888183117"/>
  </r>
  <r>
    <s v="1943"/>
    <s v="West"/>
    <n v="13951.5262857944"/>
    <n v="15"/>
    <d v="2023-08-02T00:00:00"/>
    <x v="4"/>
    <n v="23"/>
    <s v="1"/>
    <s v="New"/>
    <s v="Direct"/>
    <s v="Bank Transfer"/>
    <s v="2"/>
    <x v="2"/>
    <x v="17"/>
    <n v="11858.79734292524"/>
  </r>
  <r>
    <s v="1944"/>
    <s v="North"/>
    <n v="22999.643649981001"/>
    <n v="0"/>
    <d v="2023-02-01T00:00:00"/>
    <x v="58"/>
    <n v="11"/>
    <s v="0"/>
    <s v="New"/>
    <s v="In-Store"/>
    <s v="Bank Transfer"/>
    <s v="3"/>
    <x v="6"/>
    <x v="7"/>
    <n v="22999.643649980997"/>
  </r>
  <r>
    <s v="1945"/>
    <s v="North"/>
    <n v="27653.7541617184"/>
    <n v="0"/>
    <d v="2023-02-19T00:00:00"/>
    <x v="12"/>
    <n v="64"/>
    <s v="0"/>
    <s v="VIP"/>
    <s v="In-Store"/>
    <s v="Credit Card"/>
    <s v="9"/>
    <x v="3"/>
    <x v="7"/>
    <n v="27653.7541617184"/>
  </r>
  <r>
    <s v="1946"/>
    <s v="East"/>
    <n v="26093.809258486501"/>
    <n v="10"/>
    <d v="2024-03-21T00:00:00"/>
    <x v="54"/>
    <n v="8"/>
    <s v="0"/>
    <s v="Returning"/>
    <s v="Direct"/>
    <s v="Cash"/>
    <s v="2"/>
    <x v="3"/>
    <x v="12"/>
    <n v="23484.42833263785"/>
  </r>
  <r>
    <s v="1947"/>
    <s v="North"/>
    <n v="18932.7856453489"/>
    <n v="0"/>
    <d v="2023-04-21T00:00:00"/>
    <x v="76"/>
    <n v="93"/>
    <s v="0"/>
    <s v="VIP"/>
    <s v="Direct"/>
    <s v="Credit Card"/>
    <s v="4"/>
    <x v="4"/>
    <x v="13"/>
    <n v="18932.7856453489"/>
  </r>
  <r>
    <s v="1948"/>
    <s v="West"/>
    <n v="27453.6306842497"/>
    <n v="10"/>
    <d v="2024-08-27T00:00:00"/>
    <x v="2"/>
    <n v="94"/>
    <s v="0"/>
    <s v="New"/>
    <s v="Online"/>
    <s v="Bank Transfer"/>
    <s v="1"/>
    <x v="0"/>
    <x v="2"/>
    <n v="24708.267615824727"/>
  </r>
  <r>
    <s v="1949"/>
    <s v="South"/>
    <n v="20743.337286010501"/>
    <n v="15"/>
    <d v="2024-01-30T00:00:00"/>
    <x v="73"/>
    <n v="56"/>
    <s v="0"/>
    <s v="VIP"/>
    <s v="In-Store"/>
    <s v="Cash"/>
    <s v="2"/>
    <x v="4"/>
    <x v="18"/>
    <n v="17631.836693108926"/>
  </r>
  <r>
    <s v="1950"/>
    <s v="North"/>
    <n v="18314.570144409801"/>
    <n v="15"/>
    <d v="2023-11-16T00:00:00"/>
    <x v="73"/>
    <n v="60"/>
    <s v="0"/>
    <s v="Returning"/>
    <s v="In-Store"/>
    <s v="Bank Transfer"/>
    <s v="5"/>
    <x v="3"/>
    <x v="15"/>
    <n v="15567.384622748332"/>
  </r>
  <r>
    <s v="1951"/>
    <s v="East"/>
    <n v="16932.986682295301"/>
    <n v="5"/>
    <d v="2024-01-02T00:00:00"/>
    <x v="84"/>
    <n v="10"/>
    <s v="0"/>
    <s v="VIP"/>
    <s v="Online"/>
    <s v="Bank Transfer"/>
    <s v="10"/>
    <x v="1"/>
    <x v="18"/>
    <n v="16086.337348180537"/>
  </r>
  <r>
    <s v="1952"/>
    <s v="West"/>
    <n v="0"/>
    <n v="15"/>
    <d v="2023-02-17T00:00:00"/>
    <x v="78"/>
    <n v="39"/>
    <s v="0"/>
    <s v="New"/>
    <s v="Direct"/>
    <s v="Credit Card"/>
    <s v="1"/>
    <x v="6"/>
    <x v="7"/>
    <n v="0"/>
  </r>
  <r>
    <s v="1953"/>
    <s v="North"/>
    <n v="18059.115907293799"/>
    <n v="10"/>
    <d v="2023-07-21T00:00:00"/>
    <x v="81"/>
    <n v="28"/>
    <s v="0"/>
    <s v="New"/>
    <s v="Online"/>
    <s v="Bank Transfer"/>
    <s v="7"/>
    <x v="4"/>
    <x v="20"/>
    <n v="16253.204316564419"/>
  </r>
  <r>
    <s v="1954"/>
    <s v="West"/>
    <n v="20852.0811118774"/>
    <n v="0"/>
    <d v="2024-06-15T00:00:00"/>
    <x v="1"/>
    <n v="49"/>
    <s v="0"/>
    <s v="VIP"/>
    <s v="Direct"/>
    <s v="Cash"/>
    <s v="4"/>
    <x v="4"/>
    <x v="5"/>
    <n v="20852.0811118774"/>
  </r>
  <r>
    <s v="1955"/>
    <s v="East"/>
    <n v="20802.869905249299"/>
    <n v="5"/>
    <d v="2023-08-26T00:00:00"/>
    <x v="10"/>
    <n v="36"/>
    <s v="0"/>
    <s v="Returning"/>
    <s v="Online"/>
    <s v="Bank Transfer"/>
    <s v="6"/>
    <x v="1"/>
    <x v="17"/>
    <n v="19762.726409986833"/>
  </r>
  <r>
    <s v="1956"/>
    <s v="East"/>
    <n v="20015.230100766999"/>
    <n v="10"/>
    <d v="2023-02-21T00:00:00"/>
    <x v="46"/>
    <n v="13"/>
    <s v="0"/>
    <s v="VIP"/>
    <s v="Direct"/>
    <s v="Bank Transfer"/>
    <s v="8"/>
    <x v="1"/>
    <x v="7"/>
    <n v="18013.707090690299"/>
  </r>
  <r>
    <s v="1957"/>
    <s v="West"/>
    <n v="22184.690848731701"/>
    <n v="0"/>
    <d v="2024-07-10T00:00:00"/>
    <x v="74"/>
    <n v="96"/>
    <s v="0"/>
    <s v="Returning"/>
    <s v="Online"/>
    <s v="Credit Card"/>
    <s v="6"/>
    <x v="1"/>
    <x v="9"/>
    <n v="22184.690848731701"/>
  </r>
  <r>
    <s v="1958"/>
    <s v="North"/>
    <n v="25953.2313739317"/>
    <n v="5"/>
    <d v="2024-02-13T00:00:00"/>
    <x v="72"/>
    <n v="36"/>
    <s v="0"/>
    <s v="Returning"/>
    <s v="Direct"/>
    <s v="Cash"/>
    <s v="2"/>
    <x v="0"/>
    <x v="0"/>
    <n v="24655.569805235114"/>
  </r>
  <r>
    <s v="1959"/>
    <s v="South"/>
    <n v="24747.770677206601"/>
    <n v="15"/>
    <d v="2024-03-19T00:00:00"/>
    <x v="43"/>
    <n v="26"/>
    <s v="0"/>
    <s v="VIP"/>
    <s v="Direct"/>
    <s v="Credit Card"/>
    <s v="1"/>
    <x v="3"/>
    <x v="12"/>
    <n v="21035.605075625608"/>
  </r>
  <r>
    <s v="1960"/>
    <s v="East"/>
    <n v="12575.510157750399"/>
    <n v="10"/>
    <d v="2024-04-26T00:00:00"/>
    <x v="71"/>
    <n v="86"/>
    <s v="0"/>
    <s v="Returning"/>
    <s v="Direct"/>
    <s v="Bank Transfer"/>
    <s v="8"/>
    <x v="3"/>
    <x v="3"/>
    <n v="11317.95914197536"/>
  </r>
  <r>
    <s v="1961"/>
    <s v="North"/>
    <n v="7230.3943254902197"/>
    <n v="0"/>
    <d v="2024-03-20T00:00:00"/>
    <x v="74"/>
    <n v="4"/>
    <s v="1"/>
    <s v="New"/>
    <s v="Direct"/>
    <s v="Credit Card"/>
    <s v="8"/>
    <x v="2"/>
    <x v="12"/>
    <n v="7230.3943254902206"/>
  </r>
  <r>
    <s v="1962"/>
    <s v="North"/>
    <n v="24671.599556196299"/>
    <n v="5"/>
    <d v="2024-04-11T00:00:00"/>
    <x v="14"/>
    <n v="95"/>
    <s v="0"/>
    <s v="VIP"/>
    <s v="Direct"/>
    <s v="Credit Card"/>
    <s v="9"/>
    <x v="0"/>
    <x v="3"/>
    <n v="23438.019578386484"/>
  </r>
  <r>
    <s v="1963"/>
    <s v="South"/>
    <n v="13165.606507922799"/>
    <n v="5"/>
    <d v="2023-02-14T00:00:00"/>
    <x v="27"/>
    <n v="82"/>
    <s v="0"/>
    <s v="Returning"/>
    <s v="In-Store"/>
    <s v="Credit Card"/>
    <s v="6"/>
    <x v="2"/>
    <x v="7"/>
    <n v="12507.32618252666"/>
  </r>
  <r>
    <s v="1964"/>
    <s v="East"/>
    <n v="18876.172990536499"/>
    <n v="15"/>
    <d v="2024-09-10T00:00:00"/>
    <x v="1"/>
    <n v="64"/>
    <s v="0"/>
    <s v="New"/>
    <s v="Direct"/>
    <s v="Credit Card"/>
    <s v="1"/>
    <x v="2"/>
    <x v="11"/>
    <n v="16044.747041956023"/>
  </r>
  <r>
    <s v="1965"/>
    <s v="East"/>
    <n v="14149.4348697032"/>
    <n v="0"/>
    <d v="2024-06-28T00:00:00"/>
    <x v="75"/>
    <n v="38"/>
    <s v="0"/>
    <s v="VIP"/>
    <s v="In-Store"/>
    <s v="Bank Transfer"/>
    <s v="9"/>
    <x v="2"/>
    <x v="5"/>
    <n v="14149.434869703202"/>
  </r>
  <r>
    <s v="1966"/>
    <s v="North"/>
    <n v="10990.097812099901"/>
    <n v="15"/>
    <d v="2024-02-29T00:00:00"/>
    <x v="23"/>
    <n v="88"/>
    <s v="0"/>
    <s v="New"/>
    <s v="Direct"/>
    <s v="Bank Transfer"/>
    <s v="3"/>
    <x v="5"/>
    <x v="0"/>
    <n v="9341.5831402849162"/>
  </r>
  <r>
    <s v="1967"/>
    <s v="North"/>
    <n v="22707.313641023899"/>
    <n v="15"/>
    <d v="2024-04-27T00:00:00"/>
    <x v="65"/>
    <n v="87"/>
    <s v="0"/>
    <s v="New"/>
    <s v="In-Store"/>
    <s v="Cash"/>
    <s v="6"/>
    <x v="2"/>
    <x v="3"/>
    <n v="19301.216594870315"/>
  </r>
  <r>
    <s v="1968"/>
    <s v="South"/>
    <n v="23795.775801513199"/>
    <n v="0"/>
    <d v="2024-02-20T00:00:00"/>
    <x v="1"/>
    <n v="22"/>
    <s v="0"/>
    <s v="New"/>
    <s v="In-Store"/>
    <s v="Credit Card"/>
    <s v="10"/>
    <x v="4"/>
    <x v="0"/>
    <n v="23795.775801513199"/>
  </r>
  <r>
    <s v="1969"/>
    <s v="South"/>
    <n v="17117.447996366402"/>
    <n v="0"/>
    <d v="2023-02-14T00:00:00"/>
    <x v="62"/>
    <n v="2"/>
    <s v="0"/>
    <s v="Returning"/>
    <s v="Online"/>
    <s v="Credit Card"/>
    <s v="10"/>
    <x v="6"/>
    <x v="7"/>
    <n v="17117.447996366402"/>
  </r>
  <r>
    <s v="1970"/>
    <s v="East"/>
    <n v="7044.7885392754497"/>
    <n v="0"/>
    <d v="2023-01-29T00:00:00"/>
    <x v="4"/>
    <n v="31"/>
    <s v="0"/>
    <s v="VIP"/>
    <s v="Direct"/>
    <s v="Cash"/>
    <s v="9"/>
    <x v="4"/>
    <x v="4"/>
    <n v="7044.7885392754506"/>
  </r>
  <r>
    <s v="1971"/>
    <s v="West"/>
    <n v="17268.777758737499"/>
    <n v="10"/>
    <d v="2023-01-30T00:00:00"/>
    <x v="82"/>
    <n v="11"/>
    <s v="0"/>
    <s v="VIP"/>
    <s v="Online"/>
    <s v="Credit Card"/>
    <s v="3"/>
    <x v="4"/>
    <x v="4"/>
    <n v="15541.899982863748"/>
  </r>
  <r>
    <s v="1972"/>
    <s v="East"/>
    <n v="21959.020027012699"/>
    <n v="0"/>
    <d v="2024-01-12T00:00:00"/>
    <x v="67"/>
    <n v="92"/>
    <s v="0"/>
    <s v="Returning"/>
    <s v="Online"/>
    <s v="Cash"/>
    <s v="5"/>
    <x v="3"/>
    <x v="18"/>
    <n v="21959.020027012699"/>
  </r>
  <r>
    <s v="1973"/>
    <s v="North"/>
    <n v="12605.4421561293"/>
    <n v="5"/>
    <d v="2023-09-26T00:00:00"/>
    <x v="21"/>
    <n v="46"/>
    <s v="0"/>
    <s v="VIP"/>
    <s v="Direct"/>
    <s v="Bank Transfer"/>
    <s v="5"/>
    <x v="5"/>
    <x v="19"/>
    <n v="11975.170048322836"/>
  </r>
  <r>
    <s v="1974"/>
    <s v="East"/>
    <n v="20916.799598895701"/>
    <n v="15"/>
    <d v="2023-04-05T00:00:00"/>
    <x v="12"/>
    <n v="96"/>
    <s v="0"/>
    <s v="New"/>
    <s v="Online"/>
    <s v="Cash"/>
    <s v="10"/>
    <x v="2"/>
    <x v="13"/>
    <n v="17779.279659061347"/>
  </r>
  <r>
    <s v="1975"/>
    <s v="West"/>
    <n v="19923.450754134999"/>
    <n v="10"/>
    <d v="2024-08-03T00:00:00"/>
    <x v="8"/>
    <n v="62"/>
    <s v="0"/>
    <s v="VIP"/>
    <s v="Direct"/>
    <s v="Credit Card"/>
    <s v="7"/>
    <x v="3"/>
    <x v="2"/>
    <n v="17931.105678721498"/>
  </r>
  <r>
    <s v="1976"/>
    <s v="South"/>
    <n v="22896.457498005399"/>
    <n v="0"/>
    <d v="2023-03-24T00:00:00"/>
    <x v="64"/>
    <n v="69"/>
    <s v="0"/>
    <s v="Returning"/>
    <s v="Online"/>
    <s v="Cash"/>
    <s v="4"/>
    <x v="0"/>
    <x v="10"/>
    <n v="22896.457498005402"/>
  </r>
  <r>
    <s v="1977"/>
    <s v="West"/>
    <n v="20597.9018420707"/>
    <n v="10"/>
    <d v="2023-10-18T00:00:00"/>
    <x v="30"/>
    <n v="64"/>
    <s v="0"/>
    <s v="New"/>
    <s v="Direct"/>
    <s v="Bank Transfer"/>
    <s v="4"/>
    <x v="0"/>
    <x v="8"/>
    <n v="18538.111657863628"/>
  </r>
  <r>
    <s v="1978"/>
    <s v="West"/>
    <n v="15134.6552955922"/>
    <n v="0"/>
    <d v="2024-02-12T00:00:00"/>
    <x v="91"/>
    <n v="10"/>
    <s v="0"/>
    <s v="Returning"/>
    <s v="Direct"/>
    <s v="Credit Card"/>
    <s v="7"/>
    <x v="3"/>
    <x v="0"/>
    <n v="15134.6552955922"/>
  </r>
  <r>
    <s v="1979"/>
    <s v="West"/>
    <n v="25982.857508322399"/>
    <n v="10"/>
    <d v="2024-07-13T00:00:00"/>
    <x v="48"/>
    <n v="40"/>
    <s v="0"/>
    <s v="New"/>
    <s v="Direct"/>
    <s v="Bank Transfer"/>
    <s v="9"/>
    <x v="6"/>
    <x v="9"/>
    <n v="23384.571757490161"/>
  </r>
  <r>
    <s v="1980"/>
    <s v="South"/>
    <n v="19207.352134865101"/>
    <n v="15"/>
    <d v="2024-02-07T00:00:00"/>
    <x v="52"/>
    <n v="24"/>
    <s v="0"/>
    <s v="New"/>
    <s v="In-Store"/>
    <s v="Bank Transfer"/>
    <s v="4"/>
    <x v="3"/>
    <x v="0"/>
    <n v="16326.249314635335"/>
  </r>
  <r>
    <s v="1981"/>
    <s v="West"/>
    <n v="19863.477302450301"/>
    <n v="15"/>
    <d v="2024-09-08T00:00:00"/>
    <x v="42"/>
    <n v="99"/>
    <s v="0"/>
    <s v="VIP"/>
    <s v="Online"/>
    <s v="Cash"/>
    <s v="4"/>
    <x v="3"/>
    <x v="11"/>
    <n v="16883.955707082754"/>
  </r>
  <r>
    <s v="1982"/>
    <s v="West"/>
    <n v="15333.660204633999"/>
    <n v="5"/>
    <d v="2024-09-28T00:00:00"/>
    <x v="38"/>
    <n v="44"/>
    <s v="0"/>
    <s v="New"/>
    <s v="In-Store"/>
    <s v="Bank Transfer"/>
    <s v="6"/>
    <x v="5"/>
    <x v="11"/>
    <n v="14566.9771944023"/>
  </r>
  <r>
    <s v="1983"/>
    <s v="West"/>
    <n v="17783.588744042401"/>
    <n v="5"/>
    <d v="2024-07-08T00:00:00"/>
    <x v="67"/>
    <n v="60"/>
    <s v="0"/>
    <s v="Returning"/>
    <s v="Online"/>
    <s v="Credit Card"/>
    <s v="6"/>
    <x v="0"/>
    <x v="9"/>
    <n v="16894.409306840284"/>
  </r>
  <r>
    <s v="1984"/>
    <s v="North"/>
    <n v="15575.986429865399"/>
    <n v="0"/>
    <d v="2023-11-18T00:00:00"/>
    <x v="54"/>
    <n v="62"/>
    <s v="1"/>
    <s v="VIP"/>
    <s v="Online"/>
    <s v="Bank Transfer"/>
    <s v="7"/>
    <x v="0"/>
    <x v="15"/>
    <n v="15575.986429865399"/>
  </r>
  <r>
    <s v="1985"/>
    <s v="West"/>
    <n v="19135.2697003828"/>
    <n v="15"/>
    <d v="2024-08-15T00:00:00"/>
    <x v="27"/>
    <n v="87"/>
    <s v="0"/>
    <s v="Returning"/>
    <s v="Online"/>
    <s v="Bank Transfer"/>
    <s v="1"/>
    <x v="2"/>
    <x v="2"/>
    <n v="16264.979245325381"/>
  </r>
  <r>
    <s v="1986"/>
    <s v="South"/>
    <n v="28558.5424007117"/>
    <n v="10"/>
    <d v="2024-05-08T00:00:00"/>
    <x v="43"/>
    <n v="17"/>
    <s v="0"/>
    <s v="New"/>
    <s v="In-Store"/>
    <s v="Cash"/>
    <s v="3"/>
    <x v="4"/>
    <x v="1"/>
    <n v="25702.688160640533"/>
  </r>
  <r>
    <s v="1987"/>
    <s v="West"/>
    <n v="13140.4942853432"/>
    <n v="10"/>
    <d v="2023-06-05T00:00:00"/>
    <x v="11"/>
    <n v="65"/>
    <s v="0"/>
    <s v="Returning"/>
    <s v="Online"/>
    <s v="Bank Transfer"/>
    <s v="9"/>
    <x v="3"/>
    <x v="16"/>
    <n v="11826.444856808879"/>
  </r>
  <r>
    <s v="1988"/>
    <s v="West"/>
    <n v="11932.1930106162"/>
    <n v="10"/>
    <d v="2023-10-30T00:00:00"/>
    <x v="46"/>
    <n v="95"/>
    <s v="0"/>
    <s v="Returning"/>
    <s v="In-Store"/>
    <s v="Cash"/>
    <s v="6"/>
    <x v="3"/>
    <x v="8"/>
    <n v="10738.973709554579"/>
  </r>
  <r>
    <s v="1989"/>
    <s v="South"/>
    <n v="27355.851637468"/>
    <n v="5"/>
    <d v="2023-09-01T00:00:00"/>
    <x v="98"/>
    <n v="95"/>
    <s v="0"/>
    <s v="New"/>
    <s v="Direct"/>
    <s v="Cash"/>
    <s v="6"/>
    <x v="6"/>
    <x v="19"/>
    <n v="25988.0590555946"/>
  </r>
  <r>
    <s v="1990"/>
    <s v="West"/>
    <n v="18953.381614240599"/>
    <n v="10"/>
    <d v="2023-03-07T00:00:00"/>
    <x v="85"/>
    <n v="57"/>
    <s v="0"/>
    <s v="VIP"/>
    <s v="Online"/>
    <s v="Credit Card"/>
    <s v="5"/>
    <x v="1"/>
    <x v="10"/>
    <n v="17058.043452816539"/>
  </r>
  <r>
    <s v="1991"/>
    <s v="South"/>
    <n v="16654.636306700399"/>
    <n v="5"/>
    <d v="2023-11-08T00:00:00"/>
    <x v="47"/>
    <n v="55"/>
    <s v="0"/>
    <s v="Returning"/>
    <s v="Online"/>
    <s v="Credit Card"/>
    <s v="3"/>
    <x v="1"/>
    <x v="15"/>
    <n v="15821.90449136538"/>
  </r>
  <r>
    <s v="1992"/>
    <s v="West"/>
    <n v="25199.5234369803"/>
    <n v="5"/>
    <d v="2023-01-23T00:00:00"/>
    <x v="14"/>
    <n v="53"/>
    <s v="1"/>
    <s v="New"/>
    <s v="Direct"/>
    <s v="Credit Card"/>
    <s v="5"/>
    <x v="0"/>
    <x v="4"/>
    <n v="23939.547265131288"/>
  </r>
  <r>
    <s v="1993"/>
    <s v="South"/>
    <n v="16971.922301315601"/>
    <n v="0"/>
    <d v="2024-02-22T00:00:00"/>
    <x v="44"/>
    <n v="56"/>
    <s v="1"/>
    <s v="VIP"/>
    <s v="Direct"/>
    <s v="Credit Card"/>
    <s v="1"/>
    <x v="6"/>
    <x v="0"/>
    <n v="16971.922301315601"/>
  </r>
  <r>
    <s v="1994"/>
    <s v="West"/>
    <n v="29130.048567734601"/>
    <n v="10"/>
    <d v="2023-12-16T00:00:00"/>
    <x v="66"/>
    <n v="98"/>
    <s v="0"/>
    <s v="VIP"/>
    <s v="Online"/>
    <s v="Cash"/>
    <s v="3"/>
    <x v="5"/>
    <x v="6"/>
    <n v="26217.043710961141"/>
  </r>
  <r>
    <s v="1995"/>
    <s v="West"/>
    <n v="23389.6293566963"/>
    <n v="10"/>
    <d v="2023-11-28T00:00:00"/>
    <x v="30"/>
    <n v="9"/>
    <s v="0"/>
    <s v="VIP"/>
    <s v="Direct"/>
    <s v="Bank Transfer"/>
    <s v="4"/>
    <x v="2"/>
    <x v="15"/>
    <n v="21050.666421026672"/>
  </r>
  <r>
    <s v="1996"/>
    <s v="North"/>
    <n v="17560.4429592714"/>
    <n v="15"/>
    <d v="2024-04-18T00:00:00"/>
    <x v="94"/>
    <n v="22"/>
    <s v="0"/>
    <s v="Returning"/>
    <s v="In-Store"/>
    <s v="Credit Card"/>
    <s v="5"/>
    <x v="6"/>
    <x v="3"/>
    <n v="14926.376515380691"/>
  </r>
  <r>
    <s v="1997"/>
    <s v="North"/>
    <n v="30786.5410663275"/>
    <n v="0"/>
    <d v="2023-08-01T00:00:00"/>
    <x v="1"/>
    <n v="13"/>
    <s v="0"/>
    <s v="Returning"/>
    <s v="In-Store"/>
    <s v="Credit Card"/>
    <s v="10"/>
    <x v="0"/>
    <x v="17"/>
    <n v="30786.5410663275"/>
  </r>
  <r>
    <s v="1998"/>
    <s v="West"/>
    <n v="16971.4253849833"/>
    <n v="15"/>
    <d v="2023-09-10T00:00:00"/>
    <x v="48"/>
    <n v="89"/>
    <s v="0"/>
    <s v="Returning"/>
    <s v="Online"/>
    <s v="Credit Card"/>
    <s v="9"/>
    <x v="5"/>
    <x v="19"/>
    <n v="14425.711577235805"/>
  </r>
  <r>
    <s v="1999"/>
    <s v="West"/>
    <n v="23710.476860046499"/>
    <n v="0"/>
    <d v="2023-07-08T00:00:00"/>
    <x v="80"/>
    <n v="48"/>
    <s v="0"/>
    <s v="VIP"/>
    <s v="In-Store"/>
    <s v="Bank Transfer"/>
    <s v="4"/>
    <x v="3"/>
    <x v="20"/>
    <n v="23710.476860046499"/>
  </r>
  <r>
    <s v="2000"/>
    <s v="East"/>
    <n v="21496.462902032399"/>
    <n v="10"/>
    <d v="2023-03-09T00:00:00"/>
    <x v="20"/>
    <n v="18"/>
    <s v="0"/>
    <s v="Returning"/>
    <s v="In-Store"/>
    <s v="Credit Card"/>
    <s v="3"/>
    <x v="5"/>
    <x v="10"/>
    <n v="19346.8166118291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FE088-00B4-4D48-87EA-132D390241AC}" name="Выручка по категориям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">
  <location ref="A3:B11" firstHeaderRow="1" firstDataRow="1" firstDataCol="1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ame="Категория" axis="axisRow" showAll="0">
      <items count="8">
        <item x="4"/>
        <item x="6"/>
        <item x="0"/>
        <item x="2"/>
        <item x="3"/>
        <item x="1"/>
        <item x="5"/>
        <item t="default"/>
      </items>
    </pivotField>
    <pivotField showAll="0"/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Выручка, руб." fld="14" baseField="12" baseItem="0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323BA-2EE5-43E4-B63C-D725CC188600}" name="Сводная таблица1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Общая выручка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58589-C2B5-4F28-9E07-D9EC58673ED6}" name="Сводная таблица10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 ProductID ">
  <location ref="A3:B9" firstHeaderRow="1" firstDataRow="1" firstDataCol="1"/>
  <pivotFields count="15">
    <pivotField showAll="0"/>
    <pivotField showAll="0"/>
    <pivotField showAll="0"/>
    <pivotField showAll="0"/>
    <pivotField numFmtId="14" showAll="0"/>
    <pivotField axis="axisRow" showAll="0" measureFilter="1" sortType="descending">
      <items count="101">
        <item x="37"/>
        <item x="57"/>
        <item x="64"/>
        <item x="84"/>
        <item x="92"/>
        <item x="87"/>
        <item x="82"/>
        <item x="15"/>
        <item x="24"/>
        <item x="62"/>
        <item x="33"/>
        <item x="40"/>
        <item x="11"/>
        <item x="5"/>
        <item x="56"/>
        <item x="68"/>
        <item x="28"/>
        <item x="50"/>
        <item x="34"/>
        <item x="17"/>
        <item x="29"/>
        <item x="90"/>
        <item x="72"/>
        <item x="73"/>
        <item x="44"/>
        <item x="86"/>
        <item x="66"/>
        <item x="55"/>
        <item x="59"/>
        <item x="47"/>
        <item x="83"/>
        <item x="77"/>
        <item x="41"/>
        <item x="81"/>
        <item x="6"/>
        <item x="54"/>
        <item x="26"/>
        <item x="67"/>
        <item x="20"/>
        <item x="4"/>
        <item x="27"/>
        <item x="88"/>
        <item x="16"/>
        <item x="79"/>
        <item x="36"/>
        <item x="13"/>
        <item x="48"/>
        <item x="7"/>
        <item x="10"/>
        <item x="85"/>
        <item x="30"/>
        <item x="93"/>
        <item x="74"/>
        <item x="23"/>
        <item x="32"/>
        <item x="9"/>
        <item x="1"/>
        <item x="98"/>
        <item x="31"/>
        <item x="75"/>
        <item x="12"/>
        <item x="14"/>
        <item x="58"/>
        <item x="22"/>
        <item x="0"/>
        <item x="51"/>
        <item x="78"/>
        <item x="52"/>
        <item x="43"/>
        <item x="65"/>
        <item x="96"/>
        <item x="39"/>
        <item x="63"/>
        <item x="60"/>
        <item x="61"/>
        <item x="38"/>
        <item x="35"/>
        <item x="94"/>
        <item x="70"/>
        <item x="95"/>
        <item x="69"/>
        <item x="49"/>
        <item x="97"/>
        <item x="8"/>
        <item x="21"/>
        <item x="91"/>
        <item x="46"/>
        <item x="25"/>
        <item x="99"/>
        <item x="19"/>
        <item x="45"/>
        <item x="42"/>
        <item x="2"/>
        <item x="53"/>
        <item x="71"/>
        <item x="89"/>
        <item x="18"/>
        <item x="76"/>
        <item x="3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6">
    <i>
      <x v="27"/>
    </i>
    <i>
      <x v="46"/>
    </i>
    <i>
      <x v="12"/>
    </i>
    <i>
      <x v="16"/>
    </i>
    <i>
      <x v="99"/>
    </i>
    <i t="grand">
      <x/>
    </i>
  </rowItems>
  <colItems count="1">
    <i/>
  </colItems>
  <dataFields count="1">
    <dataField name="Выручка, руб." fld="14" baseField="0" baseItem="0" numFmtId="2"/>
  </dataFields>
  <formats count="1">
    <format dxfId="1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C4D3B-C1A6-4F4A-A389-FAA48C9CC8A8}" name="Сводная таблица7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 rowHeaderCaption="Год-месяц">
  <location ref="A3:B25" firstHeaderRow="1" firstDataRow="1" firstDataCol="1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4"/>
        <item x="7"/>
        <item x="10"/>
        <item x="13"/>
        <item x="14"/>
        <item x="16"/>
        <item x="20"/>
        <item x="17"/>
        <item x="19"/>
        <item x="8"/>
        <item x="15"/>
        <item x="6"/>
        <item x="18"/>
        <item x="0"/>
        <item x="12"/>
        <item x="3"/>
        <item x="1"/>
        <item x="5"/>
        <item x="9"/>
        <item x="2"/>
        <item x="11"/>
        <item t="default"/>
      </items>
    </pivotField>
    <pivotField dataField="1" showAll="0"/>
  </pivotFields>
  <rowFields count="1">
    <field x="1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Выручка, тыс. руб." fld="14" baseField="0" baseItem="0" numFmtId="2"/>
  </dataFields>
  <formats count="2">
    <format dxfId="10">
      <pivotArea collapsedLevelsAreSubtotals="1" fieldPosition="0">
        <references count="1">
          <reference field="13" count="1">
            <x v="0"/>
          </reference>
        </references>
      </pivotArea>
    </format>
    <format dxfId="9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8DE036-5198-45E8-ABF8-23A9714CD22A}" autoFormatId="16" applyNumberFormats="0" applyBorderFormats="0" applyFontFormats="0" applyPatternFormats="0" applyAlignmentFormats="0" applyWidthHeightFormats="0">
  <queryTableRefresh nextId="21">
    <queryTableFields count="15">
      <queryTableField id="1" name="CustomerID" tableColumnId="1"/>
      <queryTableField id="2" name="Region" tableColumnId="2"/>
      <queryTableField id="3" name="Sales" tableColumnId="3"/>
      <queryTableField id="4" name="Discount" tableColumnId="4"/>
      <queryTableField id="5" name="Date" tableColumnId="5"/>
      <queryTableField id="6" name="ProductID" tableColumnId="6"/>
      <queryTableField id="7" name="Quantity" tableColumnId="7"/>
      <queryTableField id="8" name="Return" tableColumnId="8"/>
      <queryTableField id="9" name="CustomerType" tableColumnId="9"/>
      <queryTableField id="10" name="SalesChannel" tableColumnId="10"/>
      <queryTableField id="11" name="PaymentMethod" tableColumnId="11"/>
      <queryTableField id="12" name="SatisfactionScore" tableColumnId="12"/>
      <queryTableField id="13" name="ProductCategory" tableColumnId="13"/>
      <queryTableField id="17" name="Столбец2" tableColumnId="17"/>
      <queryTableField id="19" name="Столбец4" tableColumnId="19"/>
    </queryTableFields>
    <queryTableDeletedFields count="4">
      <deletedField name="Month2"/>
      <deletedField name="Столбец1"/>
      <deletedField name="Столбец5"/>
      <deletedField name="Столбец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238A0-6E4B-487A-9D69-C194C735433E}" name="sales_data" displayName="sales_data" ref="A1:O1001" tableType="queryTable" totalsRowShown="0">
  <autoFilter ref="A1:O1001" xr:uid="{E6C238A0-6E4B-487A-9D69-C194C735433E}"/>
  <sortState xmlns:xlrd2="http://schemas.microsoft.com/office/spreadsheetml/2017/richdata2" ref="A2:O1001">
    <sortCondition ref="E1:E1001"/>
  </sortState>
  <tableColumns count="15">
    <tableColumn id="1" xr3:uid="{FA1EA397-CD19-44FC-91DE-61DA64141003}" uniqueName="1" name="CustomerID" queryTableFieldId="1" dataDxfId="23"/>
    <tableColumn id="2" xr3:uid="{1755C1F0-C801-4EE9-914C-5F1D4540908E}" uniqueName="2" name="Region" queryTableFieldId="2" dataDxfId="22"/>
    <tableColumn id="3" xr3:uid="{C8764A56-531D-4376-B481-54A4C7575C74}" uniqueName="3" name="Sales" queryTableFieldId="3"/>
    <tableColumn id="4" xr3:uid="{7021E35A-5E98-417D-8E22-359EB5862CBA}" uniqueName="4" name="Discount" queryTableFieldId="4"/>
    <tableColumn id="5" xr3:uid="{F655D448-D7AA-494B-98D6-981C01E5A6D8}" uniqueName="5" name="Date" queryTableFieldId="5" dataDxfId="21"/>
    <tableColumn id="6" xr3:uid="{1BC3513B-EDC8-4D8E-8C7C-24A92AECFB71}" uniqueName="6" name="ProductID" queryTableFieldId="6" dataDxfId="20"/>
    <tableColumn id="7" xr3:uid="{6B8B3B6A-FEF3-41A3-91BC-BF95284B1CBC}" uniqueName="7" name="Quantity" queryTableFieldId="7" dataDxfId="19"/>
    <tableColumn id="8" xr3:uid="{52E9B853-9275-4DDA-94D1-9127397AEAAF}" uniqueName="8" name="Return" queryTableFieldId="8" dataDxfId="18"/>
    <tableColumn id="9" xr3:uid="{77E1254A-240F-448D-9EC8-F6B54C8E0EF2}" uniqueName="9" name="CustomerType" queryTableFieldId="9" dataDxfId="17"/>
    <tableColumn id="10" xr3:uid="{E9246A15-EA92-48C7-A6CF-4E28D51F30E8}" uniqueName="10" name="SalesChannel" queryTableFieldId="10" dataDxfId="16"/>
    <tableColumn id="11" xr3:uid="{F943F4E6-5E66-403C-B362-91620A729B0A}" uniqueName="11" name="PaymentMethod" queryTableFieldId="11" dataDxfId="13"/>
    <tableColumn id="12" xr3:uid="{543B298F-37C9-4EF7-A074-48663D3A6BB5}" uniqueName="12" name="SatisfactionScore" queryTableFieldId="12" dataDxfId="11"/>
    <tableColumn id="13" xr3:uid="{513C50C2-0A31-4711-A47A-ADEDDD9E1622}" uniqueName="13" name="ProductCategory" queryTableFieldId="13" dataDxfId="12"/>
    <tableColumn id="17" xr3:uid="{9299F0D9-4D8C-46F8-89C3-340F321B2A9D}" uniqueName="17" name="Month" queryTableFieldId="17" dataDxfId="15"/>
    <tableColumn id="19" xr3:uid="{4C867D14-F353-465E-A35D-EB84F2ECEBBE}" uniqueName="19" name="Чистая выручка" queryTableFieldId="19" dataDxfId="14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FFE4-42A7-4E3F-89ED-4CEC07D9ABF0}">
  <dimension ref="A3:B11"/>
  <sheetViews>
    <sheetView workbookViewId="0">
      <selection activeCell="D6" sqref="D6"/>
    </sheetView>
  </sheetViews>
  <sheetFormatPr defaultRowHeight="14.35" x14ac:dyDescent="0.5"/>
  <cols>
    <col min="1" max="1" width="16.05859375" bestFit="1" customWidth="1"/>
    <col min="2" max="2" width="12.17578125" bestFit="1" customWidth="1"/>
  </cols>
  <sheetData>
    <row r="3" spans="1:2" x14ac:dyDescent="0.5">
      <c r="A3" s="3" t="s">
        <v>1069</v>
      </c>
      <c r="B3" t="s">
        <v>1073</v>
      </c>
    </row>
    <row r="4" spans="1:2" x14ac:dyDescent="0.5">
      <c r="A4" s="4" t="s">
        <v>44</v>
      </c>
      <c r="B4" s="1">
        <v>2826340.8412815034</v>
      </c>
    </row>
    <row r="5" spans="1:2" x14ac:dyDescent="0.5">
      <c r="A5" s="4" t="s">
        <v>55</v>
      </c>
      <c r="B5" s="1">
        <v>2407757.5422399263</v>
      </c>
    </row>
    <row r="6" spans="1:2" x14ac:dyDescent="0.5">
      <c r="A6" s="4" t="s">
        <v>20</v>
      </c>
      <c r="B6" s="1">
        <v>2369346.6889601285</v>
      </c>
    </row>
    <row r="7" spans="1:2" x14ac:dyDescent="0.5">
      <c r="A7" s="4" t="s">
        <v>31</v>
      </c>
      <c r="B7" s="1">
        <v>2669576.188077407</v>
      </c>
    </row>
    <row r="8" spans="1:2" x14ac:dyDescent="0.5">
      <c r="A8" s="4" t="s">
        <v>41</v>
      </c>
      <c r="B8" s="1">
        <v>2389516.9635519213</v>
      </c>
    </row>
    <row r="9" spans="1:2" x14ac:dyDescent="0.5">
      <c r="A9" s="4" t="s">
        <v>27</v>
      </c>
      <c r="B9" s="1">
        <v>2406867.41641415</v>
      </c>
    </row>
    <row r="10" spans="1:2" x14ac:dyDescent="0.5">
      <c r="A10" s="4" t="s">
        <v>48</v>
      </c>
      <c r="B10" s="1">
        <v>2765361.7172977231</v>
      </c>
    </row>
    <row r="11" spans="1:2" x14ac:dyDescent="0.5">
      <c r="A11" s="4" t="s">
        <v>1046</v>
      </c>
      <c r="B11" s="1">
        <v>17834767.357822761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289B-AD32-44B3-9847-A3BA131F5FAE}">
  <dimension ref="A3:A4"/>
  <sheetViews>
    <sheetView workbookViewId="0">
      <selection activeCell="A4" sqref="A4"/>
    </sheetView>
  </sheetViews>
  <sheetFormatPr defaultRowHeight="14.35" x14ac:dyDescent="0.5"/>
  <cols>
    <col min="1" max="1" width="30.29296875" customWidth="1"/>
  </cols>
  <sheetData>
    <row r="3" spans="1:1" x14ac:dyDescent="0.5">
      <c r="A3" t="s">
        <v>1071</v>
      </c>
    </row>
    <row r="4" spans="1:1" x14ac:dyDescent="0.5">
      <c r="A4" s="1">
        <v>17834767.357822761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4AEB-7599-4DF1-9DCF-555216CCE656}">
  <dimension ref="A3:B9"/>
  <sheetViews>
    <sheetView tabSelected="1" workbookViewId="0">
      <selection activeCell="F24" sqref="F24"/>
    </sheetView>
  </sheetViews>
  <sheetFormatPr defaultRowHeight="14.35" x14ac:dyDescent="0.5"/>
  <cols>
    <col min="1" max="1" width="16.05859375" bestFit="1" customWidth="1"/>
    <col min="2" max="2" width="27.17578125" bestFit="1" customWidth="1"/>
  </cols>
  <sheetData>
    <row r="3" spans="1:2" x14ac:dyDescent="0.5">
      <c r="A3" s="3" t="s">
        <v>1072</v>
      </c>
      <c r="B3" t="s">
        <v>1073</v>
      </c>
    </row>
    <row r="4" spans="1:2" x14ac:dyDescent="0.5">
      <c r="A4" s="4">
        <v>127</v>
      </c>
      <c r="B4" s="5">
        <v>359341.34215846728</v>
      </c>
    </row>
    <row r="5" spans="1:2" x14ac:dyDescent="0.5">
      <c r="A5" s="4">
        <v>146</v>
      </c>
      <c r="B5" s="5">
        <v>337228.1102401556</v>
      </c>
    </row>
    <row r="6" spans="1:2" x14ac:dyDescent="0.5">
      <c r="A6" s="4">
        <v>112</v>
      </c>
      <c r="B6" s="5">
        <v>317763.68417628476</v>
      </c>
    </row>
    <row r="7" spans="1:2" x14ac:dyDescent="0.5">
      <c r="A7" s="4">
        <v>116</v>
      </c>
      <c r="B7" s="5">
        <v>296762.40137978201</v>
      </c>
    </row>
    <row r="8" spans="1:2" x14ac:dyDescent="0.5">
      <c r="A8" s="4">
        <v>199</v>
      </c>
      <c r="B8" s="5">
        <v>292415.15575564274</v>
      </c>
    </row>
    <row r="9" spans="1:2" x14ac:dyDescent="0.5">
      <c r="A9" s="4" t="s">
        <v>1046</v>
      </c>
      <c r="B9" s="5">
        <v>1603510.6937103325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02A5-19C2-41D6-A580-00880ACEEC68}">
  <dimension ref="A3:B25"/>
  <sheetViews>
    <sheetView workbookViewId="0">
      <selection activeCell="B1" sqref="B1:B1048576"/>
    </sheetView>
  </sheetViews>
  <sheetFormatPr defaultRowHeight="14.35" x14ac:dyDescent="0.5"/>
  <cols>
    <col min="1" max="1" width="16.05859375" bestFit="1" customWidth="1"/>
    <col min="2" max="2" width="16.1171875" bestFit="1" customWidth="1"/>
  </cols>
  <sheetData>
    <row r="3" spans="1:2" x14ac:dyDescent="0.5">
      <c r="A3" s="3" t="s">
        <v>1070</v>
      </c>
      <c r="B3" t="s">
        <v>1074</v>
      </c>
    </row>
    <row r="4" spans="1:2" x14ac:dyDescent="0.5">
      <c r="A4" s="4" t="s">
        <v>1048</v>
      </c>
      <c r="B4" s="5">
        <v>943883.8139976532</v>
      </c>
    </row>
    <row r="5" spans="1:2" x14ac:dyDescent="0.5">
      <c r="A5" s="4" t="s">
        <v>1049</v>
      </c>
      <c r="B5" s="5">
        <v>980751.59467023727</v>
      </c>
    </row>
    <row r="6" spans="1:2" x14ac:dyDescent="0.5">
      <c r="A6" s="4" t="s">
        <v>1050</v>
      </c>
      <c r="B6" s="5">
        <v>745916.01405885478</v>
      </c>
    </row>
    <row r="7" spans="1:2" x14ac:dyDescent="0.5">
      <c r="A7" s="4" t="s">
        <v>1051</v>
      </c>
      <c r="B7" s="5">
        <v>797176.2739497982</v>
      </c>
    </row>
    <row r="8" spans="1:2" x14ac:dyDescent="0.5">
      <c r="A8" s="4" t="s">
        <v>1052</v>
      </c>
      <c r="B8" s="5">
        <v>884252.98856728442</v>
      </c>
    </row>
    <row r="9" spans="1:2" x14ac:dyDescent="0.5">
      <c r="A9" s="4" t="s">
        <v>1053</v>
      </c>
      <c r="B9" s="5">
        <v>795089.79024855781</v>
      </c>
    </row>
    <row r="10" spans="1:2" x14ac:dyDescent="0.5">
      <c r="A10" s="4" t="s">
        <v>1054</v>
      </c>
      <c r="B10" s="5">
        <v>863823.86325335805</v>
      </c>
    </row>
    <row r="11" spans="1:2" x14ac:dyDescent="0.5">
      <c r="A11" s="4" t="s">
        <v>1055</v>
      </c>
      <c r="B11" s="5">
        <v>966626.53982023278</v>
      </c>
    </row>
    <row r="12" spans="1:2" x14ac:dyDescent="0.5">
      <c r="A12" s="4" t="s">
        <v>1056</v>
      </c>
      <c r="B12" s="5">
        <v>783469.942049584</v>
      </c>
    </row>
    <row r="13" spans="1:2" x14ac:dyDescent="0.5">
      <c r="A13" s="4" t="s">
        <v>1057</v>
      </c>
      <c r="B13" s="5">
        <v>793901.78076974349</v>
      </c>
    </row>
    <row r="14" spans="1:2" x14ac:dyDescent="0.5">
      <c r="A14" s="4" t="s">
        <v>1058</v>
      </c>
      <c r="B14" s="5">
        <v>792710.90806783095</v>
      </c>
    </row>
    <row r="15" spans="1:2" x14ac:dyDescent="0.5">
      <c r="A15" s="4" t="s">
        <v>1059</v>
      </c>
      <c r="B15" s="5">
        <v>836577.12184144533</v>
      </c>
    </row>
    <row r="16" spans="1:2" x14ac:dyDescent="0.5">
      <c r="A16" s="4" t="s">
        <v>1060</v>
      </c>
      <c r="B16" s="5">
        <v>983587.68545446976</v>
      </c>
    </row>
    <row r="17" spans="1:2" x14ac:dyDescent="0.5">
      <c r="A17" s="4" t="s">
        <v>1061</v>
      </c>
      <c r="B17" s="5">
        <v>769945.01363958989</v>
      </c>
    </row>
    <row r="18" spans="1:2" x14ac:dyDescent="0.5">
      <c r="A18" s="4" t="s">
        <v>1062</v>
      </c>
      <c r="B18" s="5">
        <v>629401.26287680329</v>
      </c>
    </row>
    <row r="19" spans="1:2" x14ac:dyDescent="0.5">
      <c r="A19" s="4" t="s">
        <v>1063</v>
      </c>
      <c r="B19" s="5">
        <v>788381.40950883867</v>
      </c>
    </row>
    <row r="20" spans="1:2" x14ac:dyDescent="0.5">
      <c r="A20" s="4" t="s">
        <v>1064</v>
      </c>
      <c r="B20" s="5">
        <v>1019852.5611738224</v>
      </c>
    </row>
    <row r="21" spans="1:2" x14ac:dyDescent="0.5">
      <c r="A21" s="4" t="s">
        <v>1065</v>
      </c>
      <c r="B21" s="5">
        <v>821052.17958148045</v>
      </c>
    </row>
    <row r="22" spans="1:2" x14ac:dyDescent="0.5">
      <c r="A22" s="4" t="s">
        <v>1066</v>
      </c>
      <c r="B22" s="5">
        <v>820846.64092787914</v>
      </c>
    </row>
    <row r="23" spans="1:2" x14ac:dyDescent="0.5">
      <c r="A23" s="4" t="s">
        <v>1067</v>
      </c>
      <c r="B23" s="5">
        <v>837076.52798317105</v>
      </c>
    </row>
    <row r="24" spans="1:2" x14ac:dyDescent="0.5">
      <c r="A24" s="4" t="s">
        <v>1068</v>
      </c>
      <c r="B24" s="5">
        <v>980443.4453821237</v>
      </c>
    </row>
    <row r="25" spans="1:2" x14ac:dyDescent="0.5">
      <c r="A25" s="4" t="s">
        <v>1046</v>
      </c>
      <c r="B25" s="5">
        <v>17834767.357822757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1DB5-4402-4C26-A2CB-3CA7512D4026}">
  <dimension ref="A1:Q1001"/>
  <sheetViews>
    <sheetView topLeftCell="A2" workbookViewId="0">
      <selection activeCell="C4" sqref="C4"/>
    </sheetView>
  </sheetViews>
  <sheetFormatPr defaultRowHeight="14.35" x14ac:dyDescent="0.5"/>
  <cols>
    <col min="1" max="1" width="12.703125" bestFit="1" customWidth="1"/>
    <col min="2" max="2" width="8.41015625" bestFit="1" customWidth="1"/>
    <col min="3" max="3" width="19.9375" customWidth="1"/>
    <col min="4" max="4" width="10.1171875" bestFit="1" customWidth="1"/>
    <col min="5" max="5" width="27.1171875" style="2" bestFit="1" customWidth="1"/>
    <col min="6" max="6" width="11" style="1" bestFit="1" customWidth="1"/>
    <col min="7" max="7" width="9.8203125" bestFit="1" customWidth="1"/>
    <col min="8" max="8" width="8.3515625" bestFit="1" customWidth="1"/>
    <col min="9" max="9" width="14.703125" bestFit="1" customWidth="1"/>
    <col min="10" max="10" width="14.05859375" bestFit="1" customWidth="1"/>
    <col min="11" max="11" width="16.17578125" bestFit="1" customWidth="1"/>
    <col min="12" max="12" width="17.234375" style="5" bestFit="1" customWidth="1"/>
    <col min="13" max="13" width="16.52734375" bestFit="1" customWidth="1"/>
    <col min="14" max="14" width="11.05859375" bestFit="1" customWidth="1"/>
    <col min="15" max="15" width="12.76171875" customWidth="1"/>
    <col min="17" max="17" width="11.76171875" bestFit="1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1047</v>
      </c>
      <c r="O1" t="s">
        <v>1045</v>
      </c>
    </row>
    <row r="2" spans="1:17" x14ac:dyDescent="0.5">
      <c r="A2" s="1" t="s">
        <v>379</v>
      </c>
      <c r="B2" s="1" t="s">
        <v>50</v>
      </c>
      <c r="C2">
        <v>21539.008844460201</v>
      </c>
      <c r="D2">
        <v>15</v>
      </c>
      <c r="E2" s="2">
        <v>44927</v>
      </c>
      <c r="F2" s="1">
        <v>180</v>
      </c>
      <c r="G2" s="1">
        <v>81</v>
      </c>
      <c r="H2" s="1" t="s">
        <v>15</v>
      </c>
      <c r="I2" s="1" t="s">
        <v>33</v>
      </c>
      <c r="J2" s="1" t="s">
        <v>24</v>
      </c>
      <c r="K2" s="1" t="s">
        <v>35</v>
      </c>
      <c r="L2" s="5" t="s">
        <v>38</v>
      </c>
      <c r="M2" s="1" t="s">
        <v>20</v>
      </c>
      <c r="N2" s="1" t="str">
        <f>YEAR(sales_data[[#This Row],[Date]]) &amp; "-" &amp; TEXT(MONTH(sales_data[[#This Row],[Date]]), "00")</f>
        <v>2023-01</v>
      </c>
      <c r="O2" s="1">
        <f xml:space="preserve"> (sales_data[[#This Row],[Sales]]* (100 - sales_data[[#This Row],[Discount]]))/100</f>
        <v>18308.157517791173</v>
      </c>
    </row>
    <row r="3" spans="1:17" x14ac:dyDescent="0.5">
      <c r="A3" s="1" t="s">
        <v>905</v>
      </c>
      <c r="B3" s="1" t="s">
        <v>22</v>
      </c>
      <c r="C3">
        <v>20170.417341296099</v>
      </c>
      <c r="D3">
        <v>15</v>
      </c>
      <c r="E3" s="2">
        <v>44927</v>
      </c>
      <c r="F3" s="1">
        <v>108</v>
      </c>
      <c r="G3" s="1">
        <v>28</v>
      </c>
      <c r="H3" s="1" t="s">
        <v>15</v>
      </c>
      <c r="I3" s="1" t="s">
        <v>33</v>
      </c>
      <c r="J3" s="1" t="s">
        <v>17</v>
      </c>
      <c r="K3" s="1" t="s">
        <v>18</v>
      </c>
      <c r="L3" s="5" t="s">
        <v>54</v>
      </c>
      <c r="M3" s="1" t="s">
        <v>27</v>
      </c>
      <c r="N3" s="1" t="str">
        <f>YEAR(sales_data[[#This Row],[Date]]) &amp; "-" &amp; TEXT(MONTH(sales_data[[#This Row],[Date]]), "00")</f>
        <v>2023-01</v>
      </c>
      <c r="O3" s="1">
        <f xml:space="preserve"> (sales_data[[#This Row],[Sales]]* (100 - sales_data[[#This Row],[Discount]]))/100</f>
        <v>17144.854740101684</v>
      </c>
    </row>
    <row r="4" spans="1:17" x14ac:dyDescent="0.5">
      <c r="A4" s="1" t="s">
        <v>160</v>
      </c>
      <c r="B4" s="1" t="s">
        <v>22</v>
      </c>
      <c r="C4">
        <v>29547.083202350601</v>
      </c>
      <c r="D4">
        <v>10</v>
      </c>
      <c r="E4" s="2">
        <v>44928</v>
      </c>
      <c r="F4" s="1">
        <v>193</v>
      </c>
      <c r="G4" s="1">
        <v>67</v>
      </c>
      <c r="H4" s="1" t="s">
        <v>15</v>
      </c>
      <c r="I4" s="1" t="s">
        <v>23</v>
      </c>
      <c r="J4" s="1" t="s">
        <v>24</v>
      </c>
      <c r="K4" s="1" t="s">
        <v>25</v>
      </c>
      <c r="L4" s="5" t="s">
        <v>30</v>
      </c>
      <c r="M4" s="1" t="s">
        <v>48</v>
      </c>
      <c r="N4" s="1" t="str">
        <f>YEAR(sales_data[[#This Row],[Date]]) &amp; "-" &amp; TEXT(MONTH(sales_data[[#This Row],[Date]]), "00")</f>
        <v>2023-01</v>
      </c>
      <c r="O4" s="1">
        <f xml:space="preserve"> (sales_data[[#This Row],[Sales]]* (100 - sales_data[[#This Row],[Discount]]))/100</f>
        <v>26592.374882115539</v>
      </c>
    </row>
    <row r="5" spans="1:17" x14ac:dyDescent="0.5">
      <c r="A5" s="1" t="s">
        <v>260</v>
      </c>
      <c r="B5" s="1" t="s">
        <v>29</v>
      </c>
      <c r="C5">
        <v>15389.1733791118</v>
      </c>
      <c r="D5">
        <v>5</v>
      </c>
      <c r="E5" s="2">
        <v>44928</v>
      </c>
      <c r="F5" s="1">
        <v>105</v>
      </c>
      <c r="G5" s="1">
        <v>99</v>
      </c>
      <c r="H5" s="1" t="s">
        <v>15</v>
      </c>
      <c r="I5" s="1" t="s">
        <v>33</v>
      </c>
      <c r="J5" s="1" t="s">
        <v>17</v>
      </c>
      <c r="K5" s="1" t="s">
        <v>18</v>
      </c>
      <c r="L5" s="5" t="s">
        <v>19</v>
      </c>
      <c r="M5" s="1" t="s">
        <v>27</v>
      </c>
      <c r="N5" s="1" t="str">
        <f>YEAR(sales_data[[#This Row],[Date]]) &amp; "-" &amp; TEXT(MONTH(sales_data[[#This Row],[Date]]), "00")</f>
        <v>2023-01</v>
      </c>
      <c r="O5" s="1">
        <f xml:space="preserve"> (sales_data[[#This Row],[Sales]]* (100 - sales_data[[#This Row],[Discount]]))/100</f>
        <v>14619.71471015621</v>
      </c>
    </row>
    <row r="6" spans="1:17" x14ac:dyDescent="0.5">
      <c r="A6" s="1" t="s">
        <v>688</v>
      </c>
      <c r="B6" s="1" t="s">
        <v>29</v>
      </c>
      <c r="C6">
        <v>14886.037174007901</v>
      </c>
      <c r="D6">
        <v>15</v>
      </c>
      <c r="E6" s="2">
        <v>44928</v>
      </c>
      <c r="F6" s="1">
        <v>189</v>
      </c>
      <c r="G6" s="1">
        <v>61</v>
      </c>
      <c r="H6" s="1" t="s">
        <v>15</v>
      </c>
      <c r="I6" s="1" t="s">
        <v>16</v>
      </c>
      <c r="J6" s="1" t="s">
        <v>17</v>
      </c>
      <c r="K6" s="1" t="s">
        <v>35</v>
      </c>
      <c r="L6" s="5" t="s">
        <v>85</v>
      </c>
      <c r="M6" s="1" t="s">
        <v>44</v>
      </c>
      <c r="N6" s="1" t="str">
        <f>YEAR(sales_data[[#This Row],[Date]]) &amp; "-" &amp; TEXT(MONTH(sales_data[[#This Row],[Date]]), "00")</f>
        <v>2023-01</v>
      </c>
      <c r="O6" s="1">
        <f xml:space="preserve"> (sales_data[[#This Row],[Sales]]* (100 - sales_data[[#This Row],[Discount]]))/100</f>
        <v>12653.131597906717</v>
      </c>
    </row>
    <row r="7" spans="1:17" x14ac:dyDescent="0.5">
      <c r="A7" s="1" t="s">
        <v>709</v>
      </c>
      <c r="B7" s="1" t="s">
        <v>29</v>
      </c>
      <c r="C7">
        <v>16872.1864924523</v>
      </c>
      <c r="D7">
        <v>10</v>
      </c>
      <c r="E7" s="2">
        <v>44928</v>
      </c>
      <c r="F7" s="1">
        <v>195</v>
      </c>
      <c r="G7" s="1">
        <v>2</v>
      </c>
      <c r="H7" s="1" t="s">
        <v>15</v>
      </c>
      <c r="I7" s="1" t="s">
        <v>16</v>
      </c>
      <c r="J7" s="1" t="s">
        <v>24</v>
      </c>
      <c r="K7" s="1" t="s">
        <v>18</v>
      </c>
      <c r="L7" s="5" t="s">
        <v>58</v>
      </c>
      <c r="M7" s="1" t="s">
        <v>31</v>
      </c>
      <c r="N7" s="1" t="str">
        <f>YEAR(sales_data[[#This Row],[Date]]) &amp; "-" &amp; TEXT(MONTH(sales_data[[#This Row],[Date]]), "00")</f>
        <v>2023-01</v>
      </c>
      <c r="O7" s="1">
        <f xml:space="preserve"> (sales_data[[#This Row],[Sales]]* (100 - sales_data[[#This Row],[Discount]]))/100</f>
        <v>15184.96784320707</v>
      </c>
    </row>
    <row r="8" spans="1:17" x14ac:dyDescent="0.5">
      <c r="A8" s="1" t="s">
        <v>777</v>
      </c>
      <c r="B8" s="1" t="s">
        <v>29</v>
      </c>
      <c r="C8">
        <v>21005.495233574798</v>
      </c>
      <c r="D8">
        <v>5</v>
      </c>
      <c r="E8" s="2">
        <v>44928</v>
      </c>
      <c r="F8" s="1">
        <v>127</v>
      </c>
      <c r="G8" s="1">
        <v>48</v>
      </c>
      <c r="H8" s="1" t="s">
        <v>15</v>
      </c>
      <c r="I8" s="1" t="s">
        <v>16</v>
      </c>
      <c r="J8" s="1" t="s">
        <v>24</v>
      </c>
      <c r="K8" s="1" t="s">
        <v>25</v>
      </c>
      <c r="L8" s="5" t="s">
        <v>54</v>
      </c>
      <c r="M8" s="1" t="s">
        <v>48</v>
      </c>
      <c r="N8" s="1" t="str">
        <f>YEAR(sales_data[[#This Row],[Date]]) &amp; "-" &amp; TEXT(MONTH(sales_data[[#This Row],[Date]]), "00")</f>
        <v>2023-01</v>
      </c>
      <c r="O8" s="1">
        <f xml:space="preserve"> (sales_data[[#This Row],[Sales]]* (100 - sales_data[[#This Row],[Discount]]))/100</f>
        <v>19955.22047189606</v>
      </c>
    </row>
    <row r="9" spans="1:17" x14ac:dyDescent="0.5">
      <c r="A9" s="1" t="s">
        <v>208</v>
      </c>
      <c r="B9" s="1" t="s">
        <v>22</v>
      </c>
      <c r="C9">
        <v>16980.074066420799</v>
      </c>
      <c r="D9">
        <v>10</v>
      </c>
      <c r="E9" s="2">
        <v>44930</v>
      </c>
      <c r="F9" s="1">
        <v>138</v>
      </c>
      <c r="G9" s="1">
        <v>24</v>
      </c>
      <c r="H9" s="1" t="s">
        <v>15</v>
      </c>
      <c r="I9" s="1" t="s">
        <v>33</v>
      </c>
      <c r="J9" s="1" t="s">
        <v>17</v>
      </c>
      <c r="K9" s="1" t="s">
        <v>35</v>
      </c>
      <c r="L9" s="5" t="s">
        <v>26</v>
      </c>
      <c r="M9" s="1" t="s">
        <v>31</v>
      </c>
      <c r="N9" s="1" t="str">
        <f>YEAR(sales_data[[#This Row],[Date]]) &amp; "-" &amp; TEXT(MONTH(sales_data[[#This Row],[Date]]), "00")</f>
        <v>2023-01</v>
      </c>
      <c r="O9" s="1">
        <f xml:space="preserve"> (sales_data[[#This Row],[Sales]]* (100 - sales_data[[#This Row],[Discount]]))/100</f>
        <v>15282.06665977872</v>
      </c>
    </row>
    <row r="10" spans="1:17" x14ac:dyDescent="0.5">
      <c r="A10" s="1" t="s">
        <v>312</v>
      </c>
      <c r="B10" s="1" t="s">
        <v>22</v>
      </c>
      <c r="C10">
        <v>14467.370456291599</v>
      </c>
      <c r="D10">
        <v>10</v>
      </c>
      <c r="E10" s="2">
        <v>44930</v>
      </c>
      <c r="F10" s="1">
        <v>198</v>
      </c>
      <c r="G10" s="1">
        <v>32</v>
      </c>
      <c r="H10" s="1" t="s">
        <v>15</v>
      </c>
      <c r="I10" s="1" t="s">
        <v>16</v>
      </c>
      <c r="J10" s="1" t="s">
        <v>34</v>
      </c>
      <c r="K10" s="1" t="s">
        <v>25</v>
      </c>
      <c r="L10" s="5" t="s">
        <v>54</v>
      </c>
      <c r="M10" s="1" t="s">
        <v>44</v>
      </c>
      <c r="N10" s="1" t="str">
        <f>YEAR(sales_data[[#This Row],[Date]]) &amp; "-" &amp; TEXT(MONTH(sales_data[[#This Row],[Date]]), "00")</f>
        <v>2023-01</v>
      </c>
      <c r="O10" s="1">
        <f xml:space="preserve"> (sales_data[[#This Row],[Sales]]* (100 - sales_data[[#This Row],[Discount]]))/100</f>
        <v>13020.633410662438</v>
      </c>
      <c r="Q10">
        <f>SUM(sales_data[Sales])</f>
        <v>19229702.607530892</v>
      </c>
    </row>
    <row r="11" spans="1:17" x14ac:dyDescent="0.5">
      <c r="A11" s="1" t="s">
        <v>747</v>
      </c>
      <c r="B11" s="1" t="s">
        <v>29</v>
      </c>
      <c r="C11">
        <v>18704.789270896399</v>
      </c>
      <c r="D11">
        <v>5</v>
      </c>
      <c r="E11" s="2">
        <v>44930</v>
      </c>
      <c r="F11" s="1">
        <v>189</v>
      </c>
      <c r="G11" s="1">
        <v>28</v>
      </c>
      <c r="H11" s="1" t="s">
        <v>38</v>
      </c>
      <c r="I11" s="1" t="s">
        <v>33</v>
      </c>
      <c r="J11" s="1" t="s">
        <v>34</v>
      </c>
      <c r="K11" s="1" t="s">
        <v>25</v>
      </c>
      <c r="L11" s="5" t="s">
        <v>46</v>
      </c>
      <c r="M11" s="1" t="s">
        <v>31</v>
      </c>
      <c r="N11" s="1" t="str">
        <f>YEAR(sales_data[[#This Row],[Date]]) &amp; "-" &amp; TEXT(MONTH(sales_data[[#This Row],[Date]]), "00")</f>
        <v>2023-01</v>
      </c>
      <c r="O11" s="1">
        <f xml:space="preserve"> (sales_data[[#This Row],[Sales]]* (100 - sales_data[[#This Row],[Discount]]))/100</f>
        <v>17769.549807351577</v>
      </c>
      <c r="Q11">
        <f>SUM(sales_data[Чистая выручка])</f>
        <v>17834767.357822761</v>
      </c>
    </row>
    <row r="12" spans="1:17" x14ac:dyDescent="0.5">
      <c r="A12" s="1" t="s">
        <v>540</v>
      </c>
      <c r="B12" s="1" t="s">
        <v>14</v>
      </c>
      <c r="C12">
        <v>17345.656135398302</v>
      </c>
      <c r="D12">
        <v>5</v>
      </c>
      <c r="E12" s="2">
        <v>44931</v>
      </c>
      <c r="F12" s="1">
        <v>125</v>
      </c>
      <c r="G12" s="1">
        <v>48</v>
      </c>
      <c r="H12" s="1" t="s">
        <v>15</v>
      </c>
      <c r="I12" s="1" t="s">
        <v>16</v>
      </c>
      <c r="J12" s="1" t="s">
        <v>34</v>
      </c>
      <c r="K12" s="1" t="s">
        <v>35</v>
      </c>
      <c r="L12" s="5" t="s">
        <v>19</v>
      </c>
      <c r="M12" s="1" t="s">
        <v>44</v>
      </c>
      <c r="N12" s="1" t="str">
        <f>YEAR(sales_data[[#This Row],[Date]]) &amp; "-" &amp; TEXT(MONTH(sales_data[[#This Row],[Date]]), "00")</f>
        <v>2023-01</v>
      </c>
      <c r="O12" s="1">
        <f xml:space="preserve"> (sales_data[[#This Row],[Sales]]* (100 - sales_data[[#This Row],[Discount]]))/100</f>
        <v>16478.373328628386</v>
      </c>
    </row>
    <row r="13" spans="1:17" x14ac:dyDescent="0.5">
      <c r="A13" s="1" t="s">
        <v>479</v>
      </c>
      <c r="B13" s="1" t="s">
        <v>22</v>
      </c>
      <c r="C13">
        <v>17413.557749498101</v>
      </c>
      <c r="D13">
        <v>0</v>
      </c>
      <c r="E13" s="2">
        <v>44932</v>
      </c>
      <c r="F13" s="1">
        <v>186</v>
      </c>
      <c r="G13" s="1">
        <v>76</v>
      </c>
      <c r="H13" s="1" t="s">
        <v>15</v>
      </c>
      <c r="I13" s="1" t="s">
        <v>23</v>
      </c>
      <c r="J13" s="1" t="s">
        <v>17</v>
      </c>
      <c r="K13" s="1" t="s">
        <v>18</v>
      </c>
      <c r="L13" s="5" t="s">
        <v>43</v>
      </c>
      <c r="M13" s="1" t="s">
        <v>48</v>
      </c>
      <c r="N13" s="1" t="str">
        <f>YEAR(sales_data[[#This Row],[Date]]) &amp; "-" &amp; TEXT(MONTH(sales_data[[#This Row],[Date]]), "00")</f>
        <v>2023-01</v>
      </c>
      <c r="O13" s="1">
        <f xml:space="preserve"> (sales_data[[#This Row],[Sales]]* (100 - sales_data[[#This Row],[Discount]]))/100</f>
        <v>17413.557749498101</v>
      </c>
    </row>
    <row r="14" spans="1:17" x14ac:dyDescent="0.5">
      <c r="A14" s="1" t="s">
        <v>522</v>
      </c>
      <c r="B14" s="1" t="s">
        <v>22</v>
      </c>
      <c r="C14">
        <v>28979.3883654776</v>
      </c>
      <c r="D14">
        <v>0</v>
      </c>
      <c r="E14" s="2">
        <v>44932</v>
      </c>
      <c r="F14" s="1">
        <v>176</v>
      </c>
      <c r="G14" s="1">
        <v>9</v>
      </c>
      <c r="H14" s="1" t="s">
        <v>15</v>
      </c>
      <c r="I14" s="1" t="s">
        <v>33</v>
      </c>
      <c r="J14" s="1" t="s">
        <v>24</v>
      </c>
      <c r="K14" s="1" t="s">
        <v>35</v>
      </c>
      <c r="L14" s="5" t="s">
        <v>85</v>
      </c>
      <c r="M14" s="1" t="s">
        <v>44</v>
      </c>
      <c r="N14" s="1" t="str">
        <f>YEAR(sales_data[[#This Row],[Date]]) &amp; "-" &amp; TEXT(MONTH(sales_data[[#This Row],[Date]]), "00")</f>
        <v>2023-01</v>
      </c>
      <c r="O14" s="1">
        <f xml:space="preserve"> (sales_data[[#This Row],[Sales]]* (100 - sales_data[[#This Row],[Discount]]))/100</f>
        <v>28979.3883654776</v>
      </c>
    </row>
    <row r="15" spans="1:17" x14ac:dyDescent="0.5">
      <c r="A15" s="1" t="s">
        <v>733</v>
      </c>
      <c r="B15" s="1" t="s">
        <v>14</v>
      </c>
      <c r="C15">
        <v>24981.3340972357</v>
      </c>
      <c r="D15">
        <v>15</v>
      </c>
      <c r="E15" s="2">
        <v>44932</v>
      </c>
      <c r="F15" s="1">
        <v>144</v>
      </c>
      <c r="G15" s="1">
        <v>22</v>
      </c>
      <c r="H15" s="1" t="s">
        <v>15</v>
      </c>
      <c r="I15" s="1" t="s">
        <v>33</v>
      </c>
      <c r="J15" s="1" t="s">
        <v>34</v>
      </c>
      <c r="K15" s="1" t="s">
        <v>25</v>
      </c>
      <c r="L15" s="5" t="s">
        <v>36</v>
      </c>
      <c r="M15" s="1" t="s">
        <v>27</v>
      </c>
      <c r="N15" s="1" t="str">
        <f>YEAR(sales_data[[#This Row],[Date]]) &amp; "-" &amp; TEXT(MONTH(sales_data[[#This Row],[Date]]), "00")</f>
        <v>2023-01</v>
      </c>
      <c r="O15" s="1">
        <f xml:space="preserve"> (sales_data[[#This Row],[Sales]]* (100 - sales_data[[#This Row],[Discount]]))/100</f>
        <v>21234.133982650343</v>
      </c>
    </row>
    <row r="16" spans="1:17" x14ac:dyDescent="0.5">
      <c r="A16" s="1" t="s">
        <v>832</v>
      </c>
      <c r="B16" s="1" t="s">
        <v>22</v>
      </c>
      <c r="C16">
        <v>19687.034360502301</v>
      </c>
      <c r="D16">
        <v>15</v>
      </c>
      <c r="E16" s="2">
        <v>44932</v>
      </c>
      <c r="F16" s="1">
        <v>127</v>
      </c>
      <c r="G16" s="1">
        <v>25</v>
      </c>
      <c r="H16" s="1" t="s">
        <v>15</v>
      </c>
      <c r="I16" s="1" t="s">
        <v>23</v>
      </c>
      <c r="J16" s="1" t="s">
        <v>17</v>
      </c>
      <c r="K16" s="1" t="s">
        <v>25</v>
      </c>
      <c r="L16" s="5" t="s">
        <v>54</v>
      </c>
      <c r="M16" s="1" t="s">
        <v>41</v>
      </c>
      <c r="N16" s="1" t="str">
        <f>YEAR(sales_data[[#This Row],[Date]]) &amp; "-" &amp; TEXT(MONTH(sales_data[[#This Row],[Date]]), "00")</f>
        <v>2023-01</v>
      </c>
      <c r="O16" s="1">
        <f xml:space="preserve"> (sales_data[[#This Row],[Sales]]* (100 - sales_data[[#This Row],[Discount]]))/100</f>
        <v>16733.979206426957</v>
      </c>
    </row>
    <row r="17" spans="1:15" x14ac:dyDescent="0.5">
      <c r="A17" s="1" t="s">
        <v>216</v>
      </c>
      <c r="B17" s="1" t="s">
        <v>29</v>
      </c>
      <c r="C17">
        <v>17837.209060901801</v>
      </c>
      <c r="D17">
        <v>15</v>
      </c>
      <c r="E17" s="2">
        <v>44934</v>
      </c>
      <c r="F17" s="1">
        <v>155</v>
      </c>
      <c r="G17" s="1">
        <v>29</v>
      </c>
      <c r="H17" s="1" t="s">
        <v>15</v>
      </c>
      <c r="I17" s="1" t="s">
        <v>16</v>
      </c>
      <c r="J17" s="1" t="s">
        <v>34</v>
      </c>
      <c r="K17" s="1" t="s">
        <v>35</v>
      </c>
      <c r="L17" s="5" t="s">
        <v>85</v>
      </c>
      <c r="M17" s="1" t="s">
        <v>55</v>
      </c>
      <c r="N17" s="1" t="str">
        <f>YEAR(sales_data[[#This Row],[Date]]) &amp; "-" &amp; TEXT(MONTH(sales_data[[#This Row],[Date]]), "00")</f>
        <v>2023-01</v>
      </c>
      <c r="O17" s="1">
        <f xml:space="preserve"> (sales_data[[#This Row],[Sales]]* (100 - sales_data[[#This Row],[Discount]]))/100</f>
        <v>15161.627701766531</v>
      </c>
    </row>
    <row r="18" spans="1:15" x14ac:dyDescent="0.5">
      <c r="A18" s="1" t="s">
        <v>331</v>
      </c>
      <c r="B18" s="1" t="s">
        <v>29</v>
      </c>
      <c r="C18">
        <v>0</v>
      </c>
      <c r="D18">
        <v>0</v>
      </c>
      <c r="E18" s="2">
        <v>44934</v>
      </c>
      <c r="F18" s="1">
        <v>146</v>
      </c>
      <c r="G18" s="1">
        <v>19</v>
      </c>
      <c r="H18" s="1" t="s">
        <v>38</v>
      </c>
      <c r="I18" s="1" t="s">
        <v>16</v>
      </c>
      <c r="J18" s="1" t="s">
        <v>24</v>
      </c>
      <c r="K18" s="1" t="s">
        <v>35</v>
      </c>
      <c r="L18" s="5" t="s">
        <v>38</v>
      </c>
      <c r="M18" s="1" t="s">
        <v>48</v>
      </c>
      <c r="N18" s="1" t="str">
        <f>YEAR(sales_data[[#This Row],[Date]]) &amp; "-" &amp; TEXT(MONTH(sales_data[[#This Row],[Date]]), "00")</f>
        <v>2023-01</v>
      </c>
      <c r="O18" s="1">
        <f xml:space="preserve"> (sales_data[[#This Row],[Sales]]* (100 - sales_data[[#This Row],[Discount]]))/100</f>
        <v>0</v>
      </c>
    </row>
    <row r="19" spans="1:15" x14ac:dyDescent="0.5">
      <c r="A19" s="1" t="s">
        <v>687</v>
      </c>
      <c r="B19" s="1" t="s">
        <v>22</v>
      </c>
      <c r="C19">
        <v>23067.589863652</v>
      </c>
      <c r="D19">
        <v>15</v>
      </c>
      <c r="E19" s="2">
        <v>44934</v>
      </c>
      <c r="F19" s="1">
        <v>159</v>
      </c>
      <c r="G19" s="1">
        <v>42</v>
      </c>
      <c r="H19" s="1" t="s">
        <v>15</v>
      </c>
      <c r="I19" s="1" t="s">
        <v>16</v>
      </c>
      <c r="J19" s="1" t="s">
        <v>17</v>
      </c>
      <c r="K19" s="1" t="s">
        <v>25</v>
      </c>
      <c r="L19" s="5" t="s">
        <v>36</v>
      </c>
      <c r="M19" s="1" t="s">
        <v>27</v>
      </c>
      <c r="N19" s="1" t="str">
        <f>YEAR(sales_data[[#This Row],[Date]]) &amp; "-" &amp; TEXT(MONTH(sales_data[[#This Row],[Date]]), "00")</f>
        <v>2023-01</v>
      </c>
      <c r="O19" s="1">
        <f xml:space="preserve"> (sales_data[[#This Row],[Sales]]* (100 - sales_data[[#This Row],[Discount]]))/100</f>
        <v>19607.451384104199</v>
      </c>
    </row>
    <row r="20" spans="1:15" x14ac:dyDescent="0.5">
      <c r="A20" s="1" t="s">
        <v>701</v>
      </c>
      <c r="B20" s="1" t="s">
        <v>14</v>
      </c>
      <c r="C20">
        <v>25393.404167156401</v>
      </c>
      <c r="D20">
        <v>0</v>
      </c>
      <c r="E20" s="2">
        <v>44935</v>
      </c>
      <c r="F20" s="1">
        <v>158</v>
      </c>
      <c r="G20" s="1">
        <v>76</v>
      </c>
      <c r="H20" s="1" t="s">
        <v>15</v>
      </c>
      <c r="I20" s="1" t="s">
        <v>33</v>
      </c>
      <c r="J20" s="1" t="s">
        <v>17</v>
      </c>
      <c r="K20" s="1" t="s">
        <v>18</v>
      </c>
      <c r="L20" s="5" t="s">
        <v>43</v>
      </c>
      <c r="M20" s="1" t="s">
        <v>20</v>
      </c>
      <c r="N20" s="1" t="str">
        <f>YEAR(sales_data[[#This Row],[Date]]) &amp; "-" &amp; TEXT(MONTH(sales_data[[#This Row],[Date]]), "00")</f>
        <v>2023-01</v>
      </c>
      <c r="O20" s="1">
        <f xml:space="preserve"> (sales_data[[#This Row],[Sales]]* (100 - sales_data[[#This Row],[Discount]]))/100</f>
        <v>25393.404167156401</v>
      </c>
    </row>
    <row r="21" spans="1:15" x14ac:dyDescent="0.5">
      <c r="A21" s="1" t="s">
        <v>162</v>
      </c>
      <c r="B21" s="1" t="s">
        <v>50</v>
      </c>
      <c r="C21">
        <v>22814.846183452799</v>
      </c>
      <c r="D21">
        <v>0</v>
      </c>
      <c r="E21" s="2">
        <v>44936</v>
      </c>
      <c r="F21" s="1">
        <v>101</v>
      </c>
      <c r="G21" s="1">
        <v>83</v>
      </c>
      <c r="H21" s="1" t="s">
        <v>15</v>
      </c>
      <c r="I21" s="1" t="s">
        <v>23</v>
      </c>
      <c r="J21" s="1" t="s">
        <v>34</v>
      </c>
      <c r="K21" s="1" t="s">
        <v>35</v>
      </c>
      <c r="L21" s="5" t="s">
        <v>36</v>
      </c>
      <c r="M21" s="1" t="s">
        <v>31</v>
      </c>
      <c r="N21" s="1" t="str">
        <f>YEAR(sales_data[[#This Row],[Date]]) &amp; "-" &amp; TEXT(MONTH(sales_data[[#This Row],[Date]]), "00")</f>
        <v>2023-01</v>
      </c>
      <c r="O21" s="1">
        <f xml:space="preserve"> (sales_data[[#This Row],[Sales]]* (100 - sales_data[[#This Row],[Discount]]))/100</f>
        <v>22814.846183452799</v>
      </c>
    </row>
    <row r="22" spans="1:15" x14ac:dyDescent="0.5">
      <c r="A22" s="1" t="s">
        <v>232</v>
      </c>
      <c r="B22" s="1" t="s">
        <v>14</v>
      </c>
      <c r="C22">
        <v>18904.497355955598</v>
      </c>
      <c r="D22">
        <v>15</v>
      </c>
      <c r="E22" s="2">
        <v>44936</v>
      </c>
      <c r="F22" s="1">
        <v>148</v>
      </c>
      <c r="G22" s="1">
        <v>91</v>
      </c>
      <c r="H22" s="1" t="s">
        <v>15</v>
      </c>
      <c r="I22" s="1" t="s">
        <v>23</v>
      </c>
      <c r="J22" s="1" t="s">
        <v>34</v>
      </c>
      <c r="K22" s="1" t="s">
        <v>25</v>
      </c>
      <c r="L22" s="5" t="s">
        <v>58</v>
      </c>
      <c r="M22" s="1" t="s">
        <v>31</v>
      </c>
      <c r="N22" s="1" t="str">
        <f>YEAR(sales_data[[#This Row],[Date]]) &amp; "-" &amp; TEXT(MONTH(sales_data[[#This Row],[Date]]), "00")</f>
        <v>2023-01</v>
      </c>
      <c r="O22" s="1">
        <f xml:space="preserve"> (sales_data[[#This Row],[Sales]]* (100 - sales_data[[#This Row],[Discount]]))/100</f>
        <v>16068.822752562259</v>
      </c>
    </row>
    <row r="23" spans="1:15" x14ac:dyDescent="0.5">
      <c r="A23" s="1" t="s">
        <v>265</v>
      </c>
      <c r="B23" s="1" t="s">
        <v>14</v>
      </c>
      <c r="C23">
        <v>16131.054004482099</v>
      </c>
      <c r="D23">
        <v>15</v>
      </c>
      <c r="E23" s="2">
        <v>44936</v>
      </c>
      <c r="F23" s="1">
        <v>136</v>
      </c>
      <c r="G23" s="1">
        <v>22</v>
      </c>
      <c r="H23" s="1" t="s">
        <v>15</v>
      </c>
      <c r="I23" s="1" t="s">
        <v>33</v>
      </c>
      <c r="J23" s="1" t="s">
        <v>17</v>
      </c>
      <c r="K23" s="1" t="s">
        <v>35</v>
      </c>
      <c r="L23" s="5" t="s">
        <v>54</v>
      </c>
      <c r="M23" s="1" t="s">
        <v>55</v>
      </c>
      <c r="N23" s="1" t="str">
        <f>YEAR(sales_data[[#This Row],[Date]]) &amp; "-" &amp; TEXT(MONTH(sales_data[[#This Row],[Date]]), "00")</f>
        <v>2023-01</v>
      </c>
      <c r="O23" s="1">
        <f xml:space="preserve"> (sales_data[[#This Row],[Sales]]* (100 - sales_data[[#This Row],[Discount]]))/100</f>
        <v>13711.395903809786</v>
      </c>
    </row>
    <row r="24" spans="1:15" x14ac:dyDescent="0.5">
      <c r="A24" s="1" t="s">
        <v>302</v>
      </c>
      <c r="B24" s="1" t="s">
        <v>50</v>
      </c>
      <c r="C24">
        <v>12484.285234409401</v>
      </c>
      <c r="D24">
        <v>0</v>
      </c>
      <c r="E24" s="2">
        <v>44936</v>
      </c>
      <c r="F24" s="1">
        <v>191</v>
      </c>
      <c r="G24" s="1">
        <v>49</v>
      </c>
      <c r="H24" s="1" t="s">
        <v>15</v>
      </c>
      <c r="I24" s="1" t="s">
        <v>23</v>
      </c>
      <c r="J24" s="1" t="s">
        <v>34</v>
      </c>
      <c r="K24" s="1" t="s">
        <v>25</v>
      </c>
      <c r="L24" s="5" t="s">
        <v>36</v>
      </c>
      <c r="M24" s="1" t="s">
        <v>20</v>
      </c>
      <c r="N24" s="1" t="str">
        <f>YEAR(sales_data[[#This Row],[Date]]) &amp; "-" &amp; TEXT(MONTH(sales_data[[#This Row],[Date]]), "00")</f>
        <v>2023-01</v>
      </c>
      <c r="O24" s="1">
        <f xml:space="preserve"> (sales_data[[#This Row],[Sales]]* (100 - sales_data[[#This Row],[Discount]]))/100</f>
        <v>12484.285234409401</v>
      </c>
    </row>
    <row r="25" spans="1:15" x14ac:dyDescent="0.5">
      <c r="A25" s="1" t="s">
        <v>965</v>
      </c>
      <c r="B25" s="1" t="s">
        <v>29</v>
      </c>
      <c r="C25">
        <v>20140.9057868456</v>
      </c>
      <c r="D25">
        <v>5</v>
      </c>
      <c r="E25" s="2">
        <v>44936</v>
      </c>
      <c r="F25" s="1">
        <v>104</v>
      </c>
      <c r="G25" s="1">
        <v>29</v>
      </c>
      <c r="H25" s="1" t="s">
        <v>15</v>
      </c>
      <c r="I25" s="1" t="s">
        <v>23</v>
      </c>
      <c r="J25" s="1" t="s">
        <v>17</v>
      </c>
      <c r="K25" s="1" t="s">
        <v>35</v>
      </c>
      <c r="L25" s="5" t="s">
        <v>38</v>
      </c>
      <c r="M25" s="1" t="s">
        <v>27</v>
      </c>
      <c r="N25" s="1" t="str">
        <f>YEAR(sales_data[[#This Row],[Date]]) &amp; "-" &amp; TEXT(MONTH(sales_data[[#This Row],[Date]]), "00")</f>
        <v>2023-01</v>
      </c>
      <c r="O25" s="1">
        <f xml:space="preserve"> (sales_data[[#This Row],[Sales]]* (100 - sales_data[[#This Row],[Discount]]))/100</f>
        <v>19133.860497503319</v>
      </c>
    </row>
    <row r="26" spans="1:15" x14ac:dyDescent="0.5">
      <c r="A26" s="1" t="s">
        <v>603</v>
      </c>
      <c r="B26" s="1" t="s">
        <v>22</v>
      </c>
      <c r="C26">
        <v>29233.1849802383</v>
      </c>
      <c r="D26">
        <v>15</v>
      </c>
      <c r="E26" s="2">
        <v>44937</v>
      </c>
      <c r="F26" s="1">
        <v>183</v>
      </c>
      <c r="G26" s="1">
        <v>8</v>
      </c>
      <c r="H26" s="1" t="s">
        <v>15</v>
      </c>
      <c r="I26" s="1" t="s">
        <v>16</v>
      </c>
      <c r="J26" s="1" t="s">
        <v>24</v>
      </c>
      <c r="K26" s="1" t="s">
        <v>25</v>
      </c>
      <c r="L26" s="5" t="s">
        <v>46</v>
      </c>
      <c r="M26" s="1" t="s">
        <v>20</v>
      </c>
      <c r="N26" s="1" t="str">
        <f>YEAR(sales_data[[#This Row],[Date]]) &amp; "-" &amp; TEXT(MONTH(sales_data[[#This Row],[Date]]), "00")</f>
        <v>2023-01</v>
      </c>
      <c r="O26" s="1">
        <f xml:space="preserve"> (sales_data[[#This Row],[Sales]]* (100 - sales_data[[#This Row],[Discount]]))/100</f>
        <v>24848.207233202556</v>
      </c>
    </row>
    <row r="27" spans="1:15" x14ac:dyDescent="0.5">
      <c r="A27" s="1" t="s">
        <v>152</v>
      </c>
      <c r="B27" s="1" t="s">
        <v>22</v>
      </c>
      <c r="C27">
        <v>15693.5789933586</v>
      </c>
      <c r="D27">
        <v>5</v>
      </c>
      <c r="E27" s="2">
        <v>44939</v>
      </c>
      <c r="F27" s="1">
        <v>183</v>
      </c>
      <c r="G27" s="1">
        <v>23</v>
      </c>
      <c r="H27" s="1" t="s">
        <v>15</v>
      </c>
      <c r="I27" s="1" t="s">
        <v>16</v>
      </c>
      <c r="J27" s="1" t="s">
        <v>17</v>
      </c>
      <c r="K27" s="1" t="s">
        <v>35</v>
      </c>
      <c r="L27" s="5" t="s">
        <v>26</v>
      </c>
      <c r="M27" s="1" t="s">
        <v>31</v>
      </c>
      <c r="N27" s="1" t="str">
        <f>YEAR(sales_data[[#This Row],[Date]]) &amp; "-" &amp; TEXT(MONTH(sales_data[[#This Row],[Date]]), "00")</f>
        <v>2023-01</v>
      </c>
      <c r="O27" s="1">
        <f xml:space="preserve"> (sales_data[[#This Row],[Sales]]* (100 - sales_data[[#This Row],[Discount]]))/100</f>
        <v>14908.90004369067</v>
      </c>
    </row>
    <row r="28" spans="1:15" x14ac:dyDescent="0.5">
      <c r="A28" s="1" t="s">
        <v>241</v>
      </c>
      <c r="B28" s="1" t="s">
        <v>50</v>
      </c>
      <c r="C28">
        <v>23163.909330531402</v>
      </c>
      <c r="D28">
        <v>15</v>
      </c>
      <c r="E28" s="2">
        <v>44939</v>
      </c>
      <c r="F28" s="1">
        <v>164</v>
      </c>
      <c r="G28" s="1">
        <v>80</v>
      </c>
      <c r="H28" s="1" t="s">
        <v>15</v>
      </c>
      <c r="I28" s="1" t="s">
        <v>23</v>
      </c>
      <c r="J28" s="1" t="s">
        <v>24</v>
      </c>
      <c r="K28" s="1" t="s">
        <v>25</v>
      </c>
      <c r="L28" s="5" t="s">
        <v>19</v>
      </c>
      <c r="M28" s="1" t="s">
        <v>44</v>
      </c>
      <c r="N28" s="1" t="str">
        <f>YEAR(sales_data[[#This Row],[Date]]) &amp; "-" &amp; TEXT(MONTH(sales_data[[#This Row],[Date]]), "00")</f>
        <v>2023-01</v>
      </c>
      <c r="O28" s="1">
        <f xml:space="preserve"> (sales_data[[#This Row],[Sales]]* (100 - sales_data[[#This Row],[Discount]]))/100</f>
        <v>19689.32293095169</v>
      </c>
    </row>
    <row r="29" spans="1:15" x14ac:dyDescent="0.5">
      <c r="A29" s="1" t="s">
        <v>640</v>
      </c>
      <c r="B29" s="1" t="s">
        <v>22</v>
      </c>
      <c r="C29">
        <v>0</v>
      </c>
      <c r="D29">
        <v>0</v>
      </c>
      <c r="E29" s="2">
        <v>44939</v>
      </c>
      <c r="F29" s="1">
        <v>107</v>
      </c>
      <c r="G29" s="1">
        <v>2</v>
      </c>
      <c r="H29" s="1" t="s">
        <v>15</v>
      </c>
      <c r="I29" s="1" t="s">
        <v>33</v>
      </c>
      <c r="J29" s="1" t="s">
        <v>17</v>
      </c>
      <c r="K29" s="1" t="s">
        <v>35</v>
      </c>
      <c r="L29" s="5" t="s">
        <v>38</v>
      </c>
      <c r="M29" s="1" t="s">
        <v>48</v>
      </c>
      <c r="N29" s="1" t="str">
        <f>YEAR(sales_data[[#This Row],[Date]]) &amp; "-" &amp; TEXT(MONTH(sales_data[[#This Row],[Date]]), "00")</f>
        <v>2023-01</v>
      </c>
      <c r="O29" s="1">
        <f xml:space="preserve"> (sales_data[[#This Row],[Sales]]* (100 - sales_data[[#This Row],[Discount]]))/100</f>
        <v>0</v>
      </c>
    </row>
    <row r="30" spans="1:15" x14ac:dyDescent="0.5">
      <c r="A30" s="1" t="s">
        <v>667</v>
      </c>
      <c r="B30" s="1" t="s">
        <v>14</v>
      </c>
      <c r="C30">
        <v>25247.763576596601</v>
      </c>
      <c r="D30">
        <v>5</v>
      </c>
      <c r="E30" s="2">
        <v>44939</v>
      </c>
      <c r="F30" s="1">
        <v>112</v>
      </c>
      <c r="G30" s="1">
        <v>71</v>
      </c>
      <c r="H30" s="1" t="s">
        <v>15</v>
      </c>
      <c r="I30" s="1" t="s">
        <v>33</v>
      </c>
      <c r="J30" s="1" t="s">
        <v>17</v>
      </c>
      <c r="K30" s="1" t="s">
        <v>18</v>
      </c>
      <c r="L30" s="5" t="s">
        <v>38</v>
      </c>
      <c r="M30" s="1" t="s">
        <v>44</v>
      </c>
      <c r="N30" s="1" t="str">
        <f>YEAR(sales_data[[#This Row],[Date]]) &amp; "-" &amp; TEXT(MONTH(sales_data[[#This Row],[Date]]), "00")</f>
        <v>2023-01</v>
      </c>
      <c r="O30" s="1">
        <f xml:space="preserve"> (sales_data[[#This Row],[Sales]]* (100 - sales_data[[#This Row],[Discount]]))/100</f>
        <v>23985.375397766773</v>
      </c>
    </row>
    <row r="31" spans="1:15" x14ac:dyDescent="0.5">
      <c r="A31" s="1" t="s">
        <v>47</v>
      </c>
      <c r="B31" s="1" t="s">
        <v>14</v>
      </c>
      <c r="C31">
        <v>25897.200603606401</v>
      </c>
      <c r="D31">
        <v>15</v>
      </c>
      <c r="E31" s="2">
        <v>44942</v>
      </c>
      <c r="F31" s="1">
        <v>183</v>
      </c>
      <c r="G31" s="1">
        <v>31</v>
      </c>
      <c r="H31" s="1" t="s">
        <v>15</v>
      </c>
      <c r="I31" s="1" t="s">
        <v>23</v>
      </c>
      <c r="J31" s="1" t="s">
        <v>34</v>
      </c>
      <c r="K31" s="1" t="s">
        <v>18</v>
      </c>
      <c r="L31" s="5" t="s">
        <v>38</v>
      </c>
      <c r="M31" s="1" t="s">
        <v>48</v>
      </c>
      <c r="N31" s="1" t="str">
        <f>YEAR(sales_data[[#This Row],[Date]]) &amp; "-" &amp; TEXT(MONTH(sales_data[[#This Row],[Date]]), "00")</f>
        <v>2023-01</v>
      </c>
      <c r="O31" s="1">
        <f xml:space="preserve"> (sales_data[[#This Row],[Sales]]* (100 - sales_data[[#This Row],[Discount]]))/100</f>
        <v>22012.620513065442</v>
      </c>
    </row>
    <row r="32" spans="1:15" x14ac:dyDescent="0.5">
      <c r="A32" s="1" t="s">
        <v>177</v>
      </c>
      <c r="B32" s="1" t="s">
        <v>29</v>
      </c>
      <c r="C32">
        <v>20496.661527146101</v>
      </c>
      <c r="D32">
        <v>15</v>
      </c>
      <c r="E32" s="2">
        <v>44942</v>
      </c>
      <c r="F32" s="1">
        <v>122</v>
      </c>
      <c r="G32" s="1">
        <v>5</v>
      </c>
      <c r="H32" s="1" t="s">
        <v>15</v>
      </c>
      <c r="I32" s="1" t="s">
        <v>23</v>
      </c>
      <c r="J32" s="1" t="s">
        <v>17</v>
      </c>
      <c r="K32" s="1" t="s">
        <v>18</v>
      </c>
      <c r="L32" s="5" t="s">
        <v>26</v>
      </c>
      <c r="M32" s="1" t="s">
        <v>44</v>
      </c>
      <c r="N32" s="1" t="str">
        <f>YEAR(sales_data[[#This Row],[Date]]) &amp; "-" &amp; TEXT(MONTH(sales_data[[#This Row],[Date]]), "00")</f>
        <v>2023-01</v>
      </c>
      <c r="O32" s="1">
        <f xml:space="preserve"> (sales_data[[#This Row],[Sales]]* (100 - sales_data[[#This Row],[Discount]]))/100</f>
        <v>17422.162298074185</v>
      </c>
    </row>
    <row r="33" spans="1:15" x14ac:dyDescent="0.5">
      <c r="A33" s="1" t="s">
        <v>496</v>
      </c>
      <c r="B33" s="1" t="s">
        <v>50</v>
      </c>
      <c r="C33">
        <v>15008.229796305999</v>
      </c>
      <c r="D33">
        <v>10</v>
      </c>
      <c r="E33" s="2">
        <v>44943</v>
      </c>
      <c r="F33" s="1">
        <v>124</v>
      </c>
      <c r="G33" s="1">
        <v>85</v>
      </c>
      <c r="H33" s="1" t="s">
        <v>15</v>
      </c>
      <c r="I33" s="1" t="s">
        <v>23</v>
      </c>
      <c r="J33" s="1" t="s">
        <v>24</v>
      </c>
      <c r="K33" s="1" t="s">
        <v>25</v>
      </c>
      <c r="L33" s="5" t="s">
        <v>30</v>
      </c>
      <c r="M33" s="1" t="s">
        <v>44</v>
      </c>
      <c r="N33" s="1" t="str">
        <f>YEAR(sales_data[[#This Row],[Date]]) &amp; "-" &amp; TEXT(MONTH(sales_data[[#This Row],[Date]]), "00")</f>
        <v>2023-01</v>
      </c>
      <c r="O33" s="1">
        <f xml:space="preserve"> (sales_data[[#This Row],[Sales]]* (100 - sales_data[[#This Row],[Discount]]))/100</f>
        <v>13507.4068166754</v>
      </c>
    </row>
    <row r="34" spans="1:15" x14ac:dyDescent="0.5">
      <c r="A34" s="1" t="s">
        <v>548</v>
      </c>
      <c r="B34" s="1" t="s">
        <v>22</v>
      </c>
      <c r="C34">
        <v>25543.5179029145</v>
      </c>
      <c r="D34">
        <v>5</v>
      </c>
      <c r="E34" s="2">
        <v>44943</v>
      </c>
      <c r="F34" s="1">
        <v>149</v>
      </c>
      <c r="G34" s="1">
        <v>88</v>
      </c>
      <c r="H34" s="1" t="s">
        <v>15</v>
      </c>
      <c r="I34" s="1" t="s">
        <v>23</v>
      </c>
      <c r="J34" s="1" t="s">
        <v>24</v>
      </c>
      <c r="K34" s="1" t="s">
        <v>18</v>
      </c>
      <c r="L34" s="5" t="s">
        <v>54</v>
      </c>
      <c r="M34" s="1" t="s">
        <v>48</v>
      </c>
      <c r="N34" s="1" t="str">
        <f>YEAR(sales_data[[#This Row],[Date]]) &amp; "-" &amp; TEXT(MONTH(sales_data[[#This Row],[Date]]), "00")</f>
        <v>2023-01</v>
      </c>
      <c r="O34" s="1">
        <f xml:space="preserve"> (sales_data[[#This Row],[Sales]]* (100 - sales_data[[#This Row],[Discount]]))/100</f>
        <v>24266.342007768773</v>
      </c>
    </row>
    <row r="35" spans="1:15" x14ac:dyDescent="0.5">
      <c r="A35" s="1" t="s">
        <v>888</v>
      </c>
      <c r="B35" s="1" t="s">
        <v>14</v>
      </c>
      <c r="C35">
        <v>31052.615007956701</v>
      </c>
      <c r="D35">
        <v>5</v>
      </c>
      <c r="E35" s="2">
        <v>44943</v>
      </c>
      <c r="F35" s="1">
        <v>142</v>
      </c>
      <c r="G35" s="1">
        <v>81</v>
      </c>
      <c r="H35" s="1" t="s">
        <v>15</v>
      </c>
      <c r="I35" s="1" t="s">
        <v>23</v>
      </c>
      <c r="J35" s="1" t="s">
        <v>24</v>
      </c>
      <c r="K35" s="1" t="s">
        <v>25</v>
      </c>
      <c r="L35" s="5" t="s">
        <v>26</v>
      </c>
      <c r="M35" s="1" t="s">
        <v>27</v>
      </c>
      <c r="N35" s="1" t="str">
        <f>YEAR(sales_data[[#This Row],[Date]]) &amp; "-" &amp; TEXT(MONTH(sales_data[[#This Row],[Date]]), "00")</f>
        <v>2023-01</v>
      </c>
      <c r="O35" s="1">
        <f xml:space="preserve"> (sales_data[[#This Row],[Sales]]* (100 - sales_data[[#This Row],[Discount]]))/100</f>
        <v>29499.98425755887</v>
      </c>
    </row>
    <row r="36" spans="1:15" x14ac:dyDescent="0.5">
      <c r="A36" s="1" t="s">
        <v>358</v>
      </c>
      <c r="B36" s="1" t="s">
        <v>14</v>
      </c>
      <c r="C36">
        <v>19075.489317784999</v>
      </c>
      <c r="D36">
        <v>10</v>
      </c>
      <c r="E36" s="2">
        <v>44944</v>
      </c>
      <c r="F36" s="1">
        <v>114</v>
      </c>
      <c r="G36" s="1">
        <v>33</v>
      </c>
      <c r="H36" s="1" t="s">
        <v>15</v>
      </c>
      <c r="I36" s="1" t="s">
        <v>16</v>
      </c>
      <c r="J36" s="1" t="s">
        <v>24</v>
      </c>
      <c r="K36" s="1" t="s">
        <v>35</v>
      </c>
      <c r="L36" s="5" t="s">
        <v>58</v>
      </c>
      <c r="M36" s="1" t="s">
        <v>55</v>
      </c>
      <c r="N36" s="1" t="str">
        <f>YEAR(sales_data[[#This Row],[Date]]) &amp; "-" &amp; TEXT(MONTH(sales_data[[#This Row],[Date]]), "00")</f>
        <v>2023-01</v>
      </c>
      <c r="O36" s="1">
        <f xml:space="preserve"> (sales_data[[#This Row],[Sales]]* (100 - sales_data[[#This Row],[Discount]]))/100</f>
        <v>17167.940386006499</v>
      </c>
    </row>
    <row r="37" spans="1:15" x14ac:dyDescent="0.5">
      <c r="A37" s="1" t="s">
        <v>616</v>
      </c>
      <c r="B37" s="1" t="s">
        <v>14</v>
      </c>
      <c r="C37">
        <v>22283.7660957689</v>
      </c>
      <c r="D37">
        <v>15</v>
      </c>
      <c r="E37" s="2">
        <v>44944</v>
      </c>
      <c r="F37" s="1">
        <v>177</v>
      </c>
      <c r="G37" s="1">
        <v>77</v>
      </c>
      <c r="H37" s="1" t="s">
        <v>15</v>
      </c>
      <c r="I37" s="1" t="s">
        <v>23</v>
      </c>
      <c r="J37" s="1" t="s">
        <v>34</v>
      </c>
      <c r="K37" s="1" t="s">
        <v>35</v>
      </c>
      <c r="L37" s="5" t="s">
        <v>19</v>
      </c>
      <c r="M37" s="1" t="s">
        <v>44</v>
      </c>
      <c r="N37" s="1" t="str">
        <f>YEAR(sales_data[[#This Row],[Date]]) &amp; "-" &amp; TEXT(MONTH(sales_data[[#This Row],[Date]]), "00")</f>
        <v>2023-01</v>
      </c>
      <c r="O37" s="1">
        <f xml:space="preserve"> (sales_data[[#This Row],[Sales]]* (100 - sales_data[[#This Row],[Discount]]))/100</f>
        <v>18941.201181403565</v>
      </c>
    </row>
    <row r="38" spans="1:15" x14ac:dyDescent="0.5">
      <c r="A38" s="1" t="s">
        <v>257</v>
      </c>
      <c r="B38" s="1" t="s">
        <v>29</v>
      </c>
      <c r="C38">
        <v>17778.533699619398</v>
      </c>
      <c r="D38">
        <v>10</v>
      </c>
      <c r="E38" s="2">
        <v>44945</v>
      </c>
      <c r="F38" s="1">
        <v>190</v>
      </c>
      <c r="G38" s="1">
        <v>20</v>
      </c>
      <c r="H38" s="1" t="s">
        <v>15</v>
      </c>
      <c r="I38" s="1" t="s">
        <v>33</v>
      </c>
      <c r="J38" s="1" t="s">
        <v>34</v>
      </c>
      <c r="K38" s="1" t="s">
        <v>18</v>
      </c>
      <c r="L38" s="5" t="s">
        <v>54</v>
      </c>
      <c r="M38" s="1" t="s">
        <v>20</v>
      </c>
      <c r="N38" s="1" t="str">
        <f>YEAR(sales_data[[#This Row],[Date]]) &amp; "-" &amp; TEXT(MONTH(sales_data[[#This Row],[Date]]), "00")</f>
        <v>2023-01</v>
      </c>
      <c r="O38" s="1">
        <f xml:space="preserve"> (sales_data[[#This Row],[Sales]]* (100 - sales_data[[#This Row],[Discount]]))/100</f>
        <v>16000.680329657458</v>
      </c>
    </row>
    <row r="39" spans="1:15" x14ac:dyDescent="0.5">
      <c r="A39" s="1" t="s">
        <v>240</v>
      </c>
      <c r="B39" s="1" t="s">
        <v>50</v>
      </c>
      <c r="C39">
        <v>17923.560430495902</v>
      </c>
      <c r="D39">
        <v>5</v>
      </c>
      <c r="E39" s="2">
        <v>44946</v>
      </c>
      <c r="F39" s="1">
        <v>175</v>
      </c>
      <c r="G39" s="1">
        <v>35</v>
      </c>
      <c r="H39" s="1" t="s">
        <v>15</v>
      </c>
      <c r="I39" s="1" t="s">
        <v>16</v>
      </c>
      <c r="J39" s="1" t="s">
        <v>17</v>
      </c>
      <c r="K39" s="1" t="s">
        <v>18</v>
      </c>
      <c r="L39" s="5" t="s">
        <v>36</v>
      </c>
      <c r="M39" s="1" t="s">
        <v>55</v>
      </c>
      <c r="N39" s="1" t="str">
        <f>YEAR(sales_data[[#This Row],[Date]]) &amp; "-" &amp; TEXT(MONTH(sales_data[[#This Row],[Date]]), "00")</f>
        <v>2023-01</v>
      </c>
      <c r="O39" s="1">
        <f xml:space="preserve"> (sales_data[[#This Row],[Sales]]* (100 - sales_data[[#This Row],[Discount]]))/100</f>
        <v>17027.382408971105</v>
      </c>
    </row>
    <row r="40" spans="1:15" x14ac:dyDescent="0.5">
      <c r="A40" s="1" t="s">
        <v>986</v>
      </c>
      <c r="B40" s="1" t="s">
        <v>29</v>
      </c>
      <c r="C40">
        <v>19279.562221391901</v>
      </c>
      <c r="D40">
        <v>15</v>
      </c>
      <c r="E40" s="2">
        <v>44946</v>
      </c>
      <c r="F40" s="1">
        <v>126</v>
      </c>
      <c r="G40" s="1">
        <v>56</v>
      </c>
      <c r="H40" s="1" t="s">
        <v>15</v>
      </c>
      <c r="I40" s="1" t="s">
        <v>16</v>
      </c>
      <c r="J40" s="1" t="s">
        <v>17</v>
      </c>
      <c r="K40" s="1" t="s">
        <v>25</v>
      </c>
      <c r="L40" s="5" t="s">
        <v>46</v>
      </c>
      <c r="M40" s="1" t="s">
        <v>55</v>
      </c>
      <c r="N40" s="1" t="str">
        <f>YEAR(sales_data[[#This Row],[Date]]) &amp; "-" &amp; TEXT(MONTH(sales_data[[#This Row],[Date]]), "00")</f>
        <v>2023-01</v>
      </c>
      <c r="O40" s="1">
        <f xml:space="preserve"> (sales_data[[#This Row],[Sales]]* (100 - sales_data[[#This Row],[Discount]]))/100</f>
        <v>16387.627888183117</v>
      </c>
    </row>
    <row r="41" spans="1:15" x14ac:dyDescent="0.5">
      <c r="A41" s="1" t="s">
        <v>390</v>
      </c>
      <c r="B41" s="1" t="s">
        <v>14</v>
      </c>
      <c r="C41">
        <v>15108.136111924799</v>
      </c>
      <c r="D41">
        <v>0</v>
      </c>
      <c r="E41" s="2">
        <v>44948</v>
      </c>
      <c r="F41" s="1">
        <v>146</v>
      </c>
      <c r="G41" s="1">
        <v>82</v>
      </c>
      <c r="H41" s="1" t="s">
        <v>15</v>
      </c>
      <c r="I41" s="1" t="s">
        <v>16</v>
      </c>
      <c r="J41" s="1" t="s">
        <v>17</v>
      </c>
      <c r="K41" s="1" t="s">
        <v>18</v>
      </c>
      <c r="L41" s="5" t="s">
        <v>26</v>
      </c>
      <c r="M41" s="1" t="s">
        <v>44</v>
      </c>
      <c r="N41" s="1" t="str">
        <f>YEAR(sales_data[[#This Row],[Date]]) &amp; "-" &amp; TEXT(MONTH(sales_data[[#This Row],[Date]]), "00")</f>
        <v>2023-01</v>
      </c>
      <c r="O41" s="1">
        <f xml:space="preserve"> (sales_data[[#This Row],[Sales]]* (100 - sales_data[[#This Row],[Discount]]))/100</f>
        <v>15108.136111924799</v>
      </c>
    </row>
    <row r="42" spans="1:15" x14ac:dyDescent="0.5">
      <c r="A42" s="1" t="s">
        <v>614</v>
      </c>
      <c r="B42" s="1" t="s">
        <v>14</v>
      </c>
      <c r="C42">
        <v>25586.479157940601</v>
      </c>
      <c r="D42">
        <v>0</v>
      </c>
      <c r="E42" s="2">
        <v>44948</v>
      </c>
      <c r="F42" s="1">
        <v>146</v>
      </c>
      <c r="G42" s="1">
        <v>82</v>
      </c>
      <c r="H42" s="1" t="s">
        <v>15</v>
      </c>
      <c r="I42" s="1" t="s">
        <v>16</v>
      </c>
      <c r="J42" s="1" t="s">
        <v>17</v>
      </c>
      <c r="K42" s="1" t="s">
        <v>35</v>
      </c>
      <c r="L42" s="5" t="s">
        <v>43</v>
      </c>
      <c r="M42" s="1" t="s">
        <v>55</v>
      </c>
      <c r="N42" s="1" t="str">
        <f>YEAR(sales_data[[#This Row],[Date]]) &amp; "-" &amp; TEXT(MONTH(sales_data[[#This Row],[Date]]), "00")</f>
        <v>2023-01</v>
      </c>
      <c r="O42" s="1">
        <f xml:space="preserve"> (sales_data[[#This Row],[Sales]]* (100 - sales_data[[#This Row],[Discount]]))/100</f>
        <v>25586.479157940601</v>
      </c>
    </row>
    <row r="43" spans="1:15" x14ac:dyDescent="0.5">
      <c r="A43" s="1" t="s">
        <v>643</v>
      </c>
      <c r="B43" s="1" t="s">
        <v>22</v>
      </c>
      <c r="C43">
        <v>19981.987304547099</v>
      </c>
      <c r="D43">
        <v>0</v>
      </c>
      <c r="E43" s="2">
        <v>44949</v>
      </c>
      <c r="F43" s="1">
        <v>117</v>
      </c>
      <c r="G43" s="1">
        <v>9</v>
      </c>
      <c r="H43" s="1" t="s">
        <v>15</v>
      </c>
      <c r="I43" s="1" t="s">
        <v>23</v>
      </c>
      <c r="J43" s="1" t="s">
        <v>17</v>
      </c>
      <c r="K43" s="1" t="s">
        <v>35</v>
      </c>
      <c r="L43" s="5" t="s">
        <v>54</v>
      </c>
      <c r="M43" s="1" t="s">
        <v>31</v>
      </c>
      <c r="N43" s="1" t="str">
        <f>YEAR(sales_data[[#This Row],[Date]]) &amp; "-" &amp; TEXT(MONTH(sales_data[[#This Row],[Date]]), "00")</f>
        <v>2023-01</v>
      </c>
      <c r="O43" s="1">
        <f xml:space="preserve"> (sales_data[[#This Row],[Sales]]* (100 - sales_data[[#This Row],[Discount]]))/100</f>
        <v>19981.987304547099</v>
      </c>
    </row>
    <row r="44" spans="1:15" x14ac:dyDescent="0.5">
      <c r="A44" s="1" t="s">
        <v>1036</v>
      </c>
      <c r="B44" s="1" t="s">
        <v>22</v>
      </c>
      <c r="C44">
        <v>25199.5234369803</v>
      </c>
      <c r="D44">
        <v>5</v>
      </c>
      <c r="E44" s="2">
        <v>44949</v>
      </c>
      <c r="F44" s="1">
        <v>161</v>
      </c>
      <c r="G44" s="1">
        <v>53</v>
      </c>
      <c r="H44" s="1" t="s">
        <v>38</v>
      </c>
      <c r="I44" s="1" t="s">
        <v>23</v>
      </c>
      <c r="J44" s="1" t="s">
        <v>34</v>
      </c>
      <c r="K44" s="1" t="s">
        <v>18</v>
      </c>
      <c r="L44" s="5" t="s">
        <v>43</v>
      </c>
      <c r="M44" s="1" t="s">
        <v>20</v>
      </c>
      <c r="N44" s="1" t="str">
        <f>YEAR(sales_data[[#This Row],[Date]]) &amp; "-" &amp; TEXT(MONTH(sales_data[[#This Row],[Date]]), "00")</f>
        <v>2023-01</v>
      </c>
      <c r="O44" s="1">
        <f xml:space="preserve"> (sales_data[[#This Row],[Sales]]* (100 - sales_data[[#This Row],[Discount]]))/100</f>
        <v>23939.547265131288</v>
      </c>
    </row>
    <row r="45" spans="1:15" x14ac:dyDescent="0.5">
      <c r="A45" s="1" t="s">
        <v>72</v>
      </c>
      <c r="B45" s="1" t="s">
        <v>22</v>
      </c>
      <c r="C45">
        <v>21661.570059897898</v>
      </c>
      <c r="D45">
        <v>5</v>
      </c>
      <c r="E45" s="2">
        <v>44953</v>
      </c>
      <c r="F45" s="1">
        <v>187</v>
      </c>
      <c r="G45" s="1">
        <v>89</v>
      </c>
      <c r="H45" s="1" t="s">
        <v>15</v>
      </c>
      <c r="I45" s="1" t="s">
        <v>23</v>
      </c>
      <c r="J45" s="1" t="s">
        <v>34</v>
      </c>
      <c r="K45" s="1" t="s">
        <v>35</v>
      </c>
      <c r="L45" s="5" t="s">
        <v>26</v>
      </c>
      <c r="M45" s="1" t="s">
        <v>27</v>
      </c>
      <c r="N45" s="1" t="str">
        <f>YEAR(sales_data[[#This Row],[Date]]) &amp; "-" &amp; TEXT(MONTH(sales_data[[#This Row],[Date]]), "00")</f>
        <v>2023-01</v>
      </c>
      <c r="O45" s="1">
        <f xml:space="preserve"> (sales_data[[#This Row],[Sales]]* (100 - sales_data[[#This Row],[Discount]]))/100</f>
        <v>20578.491556903002</v>
      </c>
    </row>
    <row r="46" spans="1:15" x14ac:dyDescent="0.5">
      <c r="A46" s="1" t="s">
        <v>81</v>
      </c>
      <c r="B46" s="1" t="s">
        <v>29</v>
      </c>
      <c r="C46">
        <v>24857.854754771699</v>
      </c>
      <c r="D46">
        <v>0</v>
      </c>
      <c r="E46" s="2">
        <v>44953</v>
      </c>
      <c r="F46" s="1">
        <v>138</v>
      </c>
      <c r="G46" s="1">
        <v>70</v>
      </c>
      <c r="H46" s="1" t="s">
        <v>15</v>
      </c>
      <c r="I46" s="1" t="s">
        <v>33</v>
      </c>
      <c r="J46" s="1" t="s">
        <v>24</v>
      </c>
      <c r="K46" s="1" t="s">
        <v>18</v>
      </c>
      <c r="L46" s="5" t="s">
        <v>58</v>
      </c>
      <c r="M46" s="1" t="s">
        <v>31</v>
      </c>
      <c r="N46" s="1" t="str">
        <f>YEAR(sales_data[[#This Row],[Date]]) &amp; "-" &amp; TEXT(MONTH(sales_data[[#This Row],[Date]]), "00")</f>
        <v>2023-01</v>
      </c>
      <c r="O46" s="1">
        <f xml:space="preserve"> (sales_data[[#This Row],[Sales]]* (100 - sales_data[[#This Row],[Discount]]))/100</f>
        <v>24857.854754771699</v>
      </c>
    </row>
    <row r="47" spans="1:15" x14ac:dyDescent="0.5">
      <c r="A47" s="1" t="s">
        <v>653</v>
      </c>
      <c r="B47" s="1" t="s">
        <v>22</v>
      </c>
      <c r="C47">
        <v>14991.8999505254</v>
      </c>
      <c r="D47">
        <v>15</v>
      </c>
      <c r="E47" s="2">
        <v>44954</v>
      </c>
      <c r="F47" s="1">
        <v>199</v>
      </c>
      <c r="G47" s="1">
        <v>73</v>
      </c>
      <c r="H47" s="1" t="s">
        <v>38</v>
      </c>
      <c r="I47" s="1" t="s">
        <v>16</v>
      </c>
      <c r="J47" s="1" t="s">
        <v>17</v>
      </c>
      <c r="K47" s="1" t="s">
        <v>18</v>
      </c>
      <c r="L47" s="5" t="s">
        <v>46</v>
      </c>
      <c r="M47" s="1" t="s">
        <v>55</v>
      </c>
      <c r="N47" s="1" t="str">
        <f>YEAR(sales_data[[#This Row],[Date]]) &amp; "-" &amp; TEXT(MONTH(sales_data[[#This Row],[Date]]), "00")</f>
        <v>2023-01</v>
      </c>
      <c r="O47" s="1">
        <f xml:space="preserve"> (sales_data[[#This Row],[Sales]]* (100 - sales_data[[#This Row],[Discount]]))/100</f>
        <v>12743.114957946591</v>
      </c>
    </row>
    <row r="48" spans="1:15" x14ac:dyDescent="0.5">
      <c r="A48" s="1" t="s">
        <v>542</v>
      </c>
      <c r="B48" s="1" t="s">
        <v>22</v>
      </c>
      <c r="C48">
        <v>25220.804385345298</v>
      </c>
      <c r="D48">
        <v>0</v>
      </c>
      <c r="E48" s="2">
        <v>44955</v>
      </c>
      <c r="F48" s="1">
        <v>195</v>
      </c>
      <c r="G48" s="1">
        <v>48</v>
      </c>
      <c r="H48" s="1" t="s">
        <v>15</v>
      </c>
      <c r="I48" s="1" t="s">
        <v>16</v>
      </c>
      <c r="J48" s="1" t="s">
        <v>17</v>
      </c>
      <c r="K48" s="1" t="s">
        <v>35</v>
      </c>
      <c r="L48" s="5" t="s">
        <v>36</v>
      </c>
      <c r="M48" s="1" t="s">
        <v>27</v>
      </c>
      <c r="N48" s="1" t="str">
        <f>YEAR(sales_data[[#This Row],[Date]]) &amp; "-" &amp; TEXT(MONTH(sales_data[[#This Row],[Date]]), "00")</f>
        <v>2023-01</v>
      </c>
      <c r="O48" s="1">
        <f xml:space="preserve"> (sales_data[[#This Row],[Sales]]* (100 - sales_data[[#This Row],[Discount]]))/100</f>
        <v>25220.804385345298</v>
      </c>
    </row>
    <row r="49" spans="1:15" x14ac:dyDescent="0.5">
      <c r="A49" s="1" t="s">
        <v>730</v>
      </c>
      <c r="B49" s="1" t="s">
        <v>50</v>
      </c>
      <c r="C49">
        <v>22385.204136115601</v>
      </c>
      <c r="D49">
        <v>10</v>
      </c>
      <c r="E49" s="2">
        <v>44955</v>
      </c>
      <c r="F49" s="1">
        <v>186</v>
      </c>
      <c r="G49" s="1">
        <v>13</v>
      </c>
      <c r="H49" s="1" t="s">
        <v>15</v>
      </c>
      <c r="I49" s="1" t="s">
        <v>23</v>
      </c>
      <c r="J49" s="1" t="s">
        <v>24</v>
      </c>
      <c r="K49" s="1" t="s">
        <v>18</v>
      </c>
      <c r="L49" s="5" t="s">
        <v>85</v>
      </c>
      <c r="M49" s="1" t="s">
        <v>31</v>
      </c>
      <c r="N49" s="1" t="str">
        <f>YEAR(sales_data[[#This Row],[Date]]) &amp; "-" &amp; TEXT(MONTH(sales_data[[#This Row],[Date]]), "00")</f>
        <v>2023-01</v>
      </c>
      <c r="O49" s="1">
        <f xml:space="preserve"> (sales_data[[#This Row],[Sales]]* (100 - sales_data[[#This Row],[Discount]]))/100</f>
        <v>20146.68372250404</v>
      </c>
    </row>
    <row r="50" spans="1:15" x14ac:dyDescent="0.5">
      <c r="A50" s="1" t="s">
        <v>1014</v>
      </c>
      <c r="B50" s="1" t="s">
        <v>14</v>
      </c>
      <c r="C50">
        <v>7044.7885392754497</v>
      </c>
      <c r="D50">
        <v>0</v>
      </c>
      <c r="E50" s="2">
        <v>44955</v>
      </c>
      <c r="F50" s="1">
        <v>139</v>
      </c>
      <c r="G50" s="1">
        <v>31</v>
      </c>
      <c r="H50" s="1" t="s">
        <v>15</v>
      </c>
      <c r="I50" s="1" t="s">
        <v>16</v>
      </c>
      <c r="J50" s="1" t="s">
        <v>34</v>
      </c>
      <c r="K50" s="1" t="s">
        <v>35</v>
      </c>
      <c r="L50" s="5" t="s">
        <v>54</v>
      </c>
      <c r="M50" s="1" t="s">
        <v>44</v>
      </c>
      <c r="N50" s="1" t="str">
        <f>YEAR(sales_data[[#This Row],[Date]]) &amp; "-" &amp; TEXT(MONTH(sales_data[[#This Row],[Date]]), "00")</f>
        <v>2023-01</v>
      </c>
      <c r="O50" s="1">
        <f xml:space="preserve"> (sales_data[[#This Row],[Sales]]* (100 - sales_data[[#This Row],[Discount]]))/100</f>
        <v>7044.7885392754506</v>
      </c>
    </row>
    <row r="51" spans="1:15" x14ac:dyDescent="0.5">
      <c r="A51" s="1" t="s">
        <v>424</v>
      </c>
      <c r="B51" s="1" t="s">
        <v>29</v>
      </c>
      <c r="C51">
        <v>16484.117874370499</v>
      </c>
      <c r="D51">
        <v>15</v>
      </c>
      <c r="E51" s="2">
        <v>44956</v>
      </c>
      <c r="F51" s="1">
        <v>164</v>
      </c>
      <c r="G51" s="1">
        <v>38</v>
      </c>
      <c r="H51" s="1" t="s">
        <v>15</v>
      </c>
      <c r="I51" s="1" t="s">
        <v>33</v>
      </c>
      <c r="J51" s="1" t="s">
        <v>34</v>
      </c>
      <c r="K51" s="1" t="s">
        <v>25</v>
      </c>
      <c r="L51" s="5" t="s">
        <v>19</v>
      </c>
      <c r="M51" s="1" t="s">
        <v>48</v>
      </c>
      <c r="N51" s="1" t="str">
        <f>YEAR(sales_data[[#This Row],[Date]]) &amp; "-" &amp; TEXT(MONTH(sales_data[[#This Row],[Date]]), "00")</f>
        <v>2023-01</v>
      </c>
      <c r="O51" s="1">
        <f xml:space="preserve"> (sales_data[[#This Row],[Sales]]* (100 - sales_data[[#This Row],[Discount]]))/100</f>
        <v>14011.500193214924</v>
      </c>
    </row>
    <row r="52" spans="1:15" x14ac:dyDescent="0.5">
      <c r="A52" s="1" t="s">
        <v>1015</v>
      </c>
      <c r="B52" s="1" t="s">
        <v>22</v>
      </c>
      <c r="C52">
        <v>17268.777758737499</v>
      </c>
      <c r="D52">
        <v>10</v>
      </c>
      <c r="E52" s="2">
        <v>44956</v>
      </c>
      <c r="F52" s="1">
        <v>106</v>
      </c>
      <c r="G52" s="1">
        <v>11</v>
      </c>
      <c r="H52" s="1" t="s">
        <v>15</v>
      </c>
      <c r="I52" s="1" t="s">
        <v>16</v>
      </c>
      <c r="J52" s="1" t="s">
        <v>17</v>
      </c>
      <c r="K52" s="1" t="s">
        <v>18</v>
      </c>
      <c r="L52" s="5" t="s">
        <v>19</v>
      </c>
      <c r="M52" s="1" t="s">
        <v>44</v>
      </c>
      <c r="N52" s="1" t="str">
        <f>YEAR(sales_data[[#This Row],[Date]]) &amp; "-" &amp; TEXT(MONTH(sales_data[[#This Row],[Date]]), "00")</f>
        <v>2023-01</v>
      </c>
      <c r="O52" s="1">
        <f xml:space="preserve"> (sales_data[[#This Row],[Sales]]* (100 - sales_data[[#This Row],[Discount]]))/100</f>
        <v>15541.899982863748</v>
      </c>
    </row>
    <row r="53" spans="1:15" x14ac:dyDescent="0.5">
      <c r="A53" s="1" t="s">
        <v>90</v>
      </c>
      <c r="B53" s="1" t="s">
        <v>22</v>
      </c>
      <c r="C53">
        <v>9803.8391111994897</v>
      </c>
      <c r="D53">
        <v>10</v>
      </c>
      <c r="E53" s="2">
        <v>44957</v>
      </c>
      <c r="F53" s="1">
        <v>110</v>
      </c>
      <c r="G53" s="1">
        <v>93</v>
      </c>
      <c r="H53" s="1" t="s">
        <v>15</v>
      </c>
      <c r="I53" s="1" t="s">
        <v>16</v>
      </c>
      <c r="J53" s="1" t="s">
        <v>34</v>
      </c>
      <c r="K53" s="1" t="s">
        <v>18</v>
      </c>
      <c r="L53" s="5" t="s">
        <v>46</v>
      </c>
      <c r="M53" s="1" t="s">
        <v>27</v>
      </c>
      <c r="N53" s="1" t="str">
        <f>YEAR(sales_data[[#This Row],[Date]]) &amp; "-" &amp; TEXT(MONTH(sales_data[[#This Row],[Date]]), "00")</f>
        <v>2023-01</v>
      </c>
      <c r="O53" s="1">
        <f xml:space="preserve"> (sales_data[[#This Row],[Sales]]* (100 - sales_data[[#This Row],[Discount]]))/100</f>
        <v>8823.4552000795411</v>
      </c>
    </row>
    <row r="54" spans="1:15" x14ac:dyDescent="0.5">
      <c r="A54" s="1" t="s">
        <v>348</v>
      </c>
      <c r="B54" s="1" t="s">
        <v>50</v>
      </c>
      <c r="C54">
        <v>22221.3165574302</v>
      </c>
      <c r="D54">
        <v>15</v>
      </c>
      <c r="E54" s="2">
        <v>44957</v>
      </c>
      <c r="F54" s="1">
        <v>151</v>
      </c>
      <c r="G54" s="1">
        <v>43</v>
      </c>
      <c r="H54" s="1" t="s">
        <v>15</v>
      </c>
      <c r="I54" s="1" t="s">
        <v>23</v>
      </c>
      <c r="J54" s="1" t="s">
        <v>34</v>
      </c>
      <c r="K54" s="1" t="s">
        <v>25</v>
      </c>
      <c r="L54" s="5" t="s">
        <v>85</v>
      </c>
      <c r="M54" s="1" t="s">
        <v>20</v>
      </c>
      <c r="N54" s="1" t="str">
        <f>YEAR(sales_data[[#This Row],[Date]]) &amp; "-" &amp; TEXT(MONTH(sales_data[[#This Row],[Date]]), "00")</f>
        <v>2023-01</v>
      </c>
      <c r="O54" s="1">
        <f xml:space="preserve"> (sales_data[[#This Row],[Sales]]* (100 - sales_data[[#This Row],[Discount]]))/100</f>
        <v>18888.119073815669</v>
      </c>
    </row>
    <row r="55" spans="1:15" x14ac:dyDescent="0.5">
      <c r="A55" s="1" t="s">
        <v>760</v>
      </c>
      <c r="B55" s="1" t="s">
        <v>22</v>
      </c>
      <c r="C55">
        <v>5518.7231090315499</v>
      </c>
      <c r="D55">
        <v>5</v>
      </c>
      <c r="E55" s="2">
        <v>44958</v>
      </c>
      <c r="F55" s="1">
        <v>121</v>
      </c>
      <c r="G55" s="1">
        <v>46</v>
      </c>
      <c r="H55" s="1" t="s">
        <v>15</v>
      </c>
      <c r="I55" s="1" t="s">
        <v>33</v>
      </c>
      <c r="J55" s="1" t="s">
        <v>34</v>
      </c>
      <c r="K55" s="1" t="s">
        <v>18</v>
      </c>
      <c r="L55" s="5" t="s">
        <v>36</v>
      </c>
      <c r="M55" s="1" t="s">
        <v>31</v>
      </c>
      <c r="N55" s="1" t="str">
        <f>YEAR(sales_data[[#This Row],[Date]]) &amp; "-" &amp; TEXT(MONTH(sales_data[[#This Row],[Date]]), "00")</f>
        <v>2023-02</v>
      </c>
      <c r="O55" s="1">
        <f xml:space="preserve"> (sales_data[[#This Row],[Sales]]* (100 - sales_data[[#This Row],[Discount]]))/100</f>
        <v>5242.7869535799728</v>
      </c>
    </row>
    <row r="56" spans="1:15" x14ac:dyDescent="0.5">
      <c r="A56" s="1" t="s">
        <v>883</v>
      </c>
      <c r="B56" s="1" t="s">
        <v>22</v>
      </c>
      <c r="C56">
        <v>19073.561705611399</v>
      </c>
      <c r="D56">
        <v>10</v>
      </c>
      <c r="E56" s="2">
        <v>44958</v>
      </c>
      <c r="F56" s="1">
        <v>173</v>
      </c>
      <c r="G56" s="1">
        <v>15</v>
      </c>
      <c r="H56" s="1" t="s">
        <v>15</v>
      </c>
      <c r="I56" s="1" t="s">
        <v>16</v>
      </c>
      <c r="J56" s="1" t="s">
        <v>34</v>
      </c>
      <c r="K56" s="1" t="s">
        <v>35</v>
      </c>
      <c r="L56" s="5" t="s">
        <v>38</v>
      </c>
      <c r="M56" s="1" t="s">
        <v>41</v>
      </c>
      <c r="N56" s="1" t="str">
        <f>YEAR(sales_data[[#This Row],[Date]]) &amp; "-" &amp; TEXT(MONTH(sales_data[[#This Row],[Date]]), "00")</f>
        <v>2023-02</v>
      </c>
      <c r="O56" s="1">
        <f xml:space="preserve"> (sales_data[[#This Row],[Sales]]* (100 - sales_data[[#This Row],[Discount]]))/100</f>
        <v>17166.20553505026</v>
      </c>
    </row>
    <row r="57" spans="1:15" x14ac:dyDescent="0.5">
      <c r="A57" s="1" t="s">
        <v>988</v>
      </c>
      <c r="B57" s="1" t="s">
        <v>29</v>
      </c>
      <c r="C57">
        <v>22999.643649981001</v>
      </c>
      <c r="D57">
        <v>0</v>
      </c>
      <c r="E57" s="2">
        <v>44958</v>
      </c>
      <c r="F57" s="1">
        <v>162</v>
      </c>
      <c r="G57" s="1">
        <v>11</v>
      </c>
      <c r="H57" s="1" t="s">
        <v>15</v>
      </c>
      <c r="I57" s="1" t="s">
        <v>23</v>
      </c>
      <c r="J57" s="1" t="s">
        <v>24</v>
      </c>
      <c r="K57" s="1" t="s">
        <v>25</v>
      </c>
      <c r="L57" s="5" t="s">
        <v>19</v>
      </c>
      <c r="M57" s="1" t="s">
        <v>55</v>
      </c>
      <c r="N57" s="1" t="str">
        <f>YEAR(sales_data[[#This Row],[Date]]) &amp; "-" &amp; TEXT(MONTH(sales_data[[#This Row],[Date]]), "00")</f>
        <v>2023-02</v>
      </c>
      <c r="O57" s="1">
        <f xml:space="preserve"> (sales_data[[#This Row],[Sales]]* (100 - sales_data[[#This Row],[Discount]]))/100</f>
        <v>22999.643649980997</v>
      </c>
    </row>
    <row r="58" spans="1:15" x14ac:dyDescent="0.5">
      <c r="A58" s="1" t="s">
        <v>723</v>
      </c>
      <c r="B58" s="1" t="s">
        <v>50</v>
      </c>
      <c r="C58">
        <v>18187.795292984301</v>
      </c>
      <c r="D58">
        <v>5</v>
      </c>
      <c r="E58" s="2">
        <v>44959</v>
      </c>
      <c r="F58" s="1">
        <v>199</v>
      </c>
      <c r="G58" s="1">
        <v>61</v>
      </c>
      <c r="H58" s="1" t="s">
        <v>38</v>
      </c>
      <c r="I58" s="1" t="s">
        <v>16</v>
      </c>
      <c r="J58" s="1" t="s">
        <v>17</v>
      </c>
      <c r="K58" s="1" t="s">
        <v>18</v>
      </c>
      <c r="L58" s="5" t="s">
        <v>36</v>
      </c>
      <c r="M58" s="1" t="s">
        <v>41</v>
      </c>
      <c r="N58" s="1" t="str">
        <f>YEAR(sales_data[[#This Row],[Date]]) &amp; "-" &amp; TEXT(MONTH(sales_data[[#This Row],[Date]]), "00")</f>
        <v>2023-02</v>
      </c>
      <c r="O58" s="1">
        <f xml:space="preserve"> (sales_data[[#This Row],[Sales]]* (100 - sales_data[[#This Row],[Discount]]))/100</f>
        <v>17278.405528335086</v>
      </c>
    </row>
    <row r="59" spans="1:15" x14ac:dyDescent="0.5">
      <c r="A59" s="1" t="s">
        <v>372</v>
      </c>
      <c r="B59" s="1" t="s">
        <v>14</v>
      </c>
      <c r="C59">
        <v>21995.680571760298</v>
      </c>
      <c r="D59">
        <v>5</v>
      </c>
      <c r="E59" s="2">
        <v>44960</v>
      </c>
      <c r="F59" s="1">
        <v>106</v>
      </c>
      <c r="G59" s="1">
        <v>46</v>
      </c>
      <c r="H59" s="1" t="s">
        <v>15</v>
      </c>
      <c r="I59" s="1" t="s">
        <v>16</v>
      </c>
      <c r="J59" s="1" t="s">
        <v>34</v>
      </c>
      <c r="K59" s="1" t="s">
        <v>35</v>
      </c>
      <c r="L59" s="5" t="s">
        <v>46</v>
      </c>
      <c r="M59" s="1" t="s">
        <v>55</v>
      </c>
      <c r="N59" s="1" t="str">
        <f>YEAR(sales_data[[#This Row],[Date]]) &amp; "-" &amp; TEXT(MONTH(sales_data[[#This Row],[Date]]), "00")</f>
        <v>2023-02</v>
      </c>
      <c r="O59" s="1">
        <f xml:space="preserve"> (sales_data[[#This Row],[Sales]]* (100 - sales_data[[#This Row],[Discount]]))/100</f>
        <v>20895.896543172283</v>
      </c>
    </row>
    <row r="60" spans="1:15" x14ac:dyDescent="0.5">
      <c r="A60" s="1" t="s">
        <v>619</v>
      </c>
      <c r="B60" s="1" t="s">
        <v>14</v>
      </c>
      <c r="C60">
        <v>0</v>
      </c>
      <c r="D60">
        <v>5</v>
      </c>
      <c r="E60" s="2">
        <v>44960</v>
      </c>
      <c r="F60" s="1">
        <v>112</v>
      </c>
      <c r="G60" s="1">
        <v>20</v>
      </c>
      <c r="H60" s="1" t="s">
        <v>15</v>
      </c>
      <c r="I60" s="1" t="s">
        <v>23</v>
      </c>
      <c r="J60" s="1" t="s">
        <v>17</v>
      </c>
      <c r="K60" s="1" t="s">
        <v>35</v>
      </c>
      <c r="L60" s="5" t="s">
        <v>19</v>
      </c>
      <c r="M60" s="1" t="s">
        <v>31</v>
      </c>
      <c r="N60" s="1" t="str">
        <f>YEAR(sales_data[[#This Row],[Date]]) &amp; "-" &amp; TEXT(MONTH(sales_data[[#This Row],[Date]]), "00")</f>
        <v>2023-02</v>
      </c>
      <c r="O60" s="1">
        <f xml:space="preserve"> (sales_data[[#This Row],[Sales]]* (100 - sales_data[[#This Row],[Discount]]))/100</f>
        <v>0</v>
      </c>
    </row>
    <row r="61" spans="1:15" x14ac:dyDescent="0.5">
      <c r="A61" s="1" t="s">
        <v>466</v>
      </c>
      <c r="B61" s="1" t="s">
        <v>50</v>
      </c>
      <c r="C61">
        <v>17606.256891682599</v>
      </c>
      <c r="D61">
        <v>5</v>
      </c>
      <c r="E61" s="2">
        <v>44961</v>
      </c>
      <c r="F61" s="1">
        <v>133</v>
      </c>
      <c r="G61" s="1">
        <v>97</v>
      </c>
      <c r="H61" s="1" t="s">
        <v>15</v>
      </c>
      <c r="I61" s="1" t="s">
        <v>33</v>
      </c>
      <c r="J61" s="1" t="s">
        <v>34</v>
      </c>
      <c r="K61" s="1" t="s">
        <v>18</v>
      </c>
      <c r="L61" s="5" t="s">
        <v>54</v>
      </c>
      <c r="M61" s="1" t="s">
        <v>41</v>
      </c>
      <c r="N61" s="1" t="str">
        <f>YEAR(sales_data[[#This Row],[Date]]) &amp; "-" &amp; TEXT(MONTH(sales_data[[#This Row],[Date]]), "00")</f>
        <v>2023-02</v>
      </c>
      <c r="O61" s="1">
        <f xml:space="preserve"> (sales_data[[#This Row],[Sales]]* (100 - sales_data[[#This Row],[Discount]]))/100</f>
        <v>16725.94404709847</v>
      </c>
    </row>
    <row r="62" spans="1:15" x14ac:dyDescent="0.5">
      <c r="A62" s="1" t="s">
        <v>191</v>
      </c>
      <c r="B62" s="1" t="s">
        <v>14</v>
      </c>
      <c r="C62">
        <v>19669.601006763402</v>
      </c>
      <c r="D62">
        <v>0</v>
      </c>
      <c r="E62" s="2">
        <v>44962</v>
      </c>
      <c r="F62" s="1">
        <v>197</v>
      </c>
      <c r="G62" s="1">
        <v>47</v>
      </c>
      <c r="H62" s="1" t="s">
        <v>15</v>
      </c>
      <c r="I62" s="1" t="s">
        <v>23</v>
      </c>
      <c r="J62" s="1" t="s">
        <v>17</v>
      </c>
      <c r="K62" s="1" t="s">
        <v>25</v>
      </c>
      <c r="L62" s="5" t="s">
        <v>36</v>
      </c>
      <c r="M62" s="1" t="s">
        <v>20</v>
      </c>
      <c r="N62" s="1" t="str">
        <f>YEAR(sales_data[[#This Row],[Date]]) &amp; "-" &amp; TEXT(MONTH(sales_data[[#This Row],[Date]]), "00")</f>
        <v>2023-02</v>
      </c>
      <c r="O62" s="1">
        <f xml:space="preserve"> (sales_data[[#This Row],[Sales]]* (100 - sales_data[[#This Row],[Discount]]))/100</f>
        <v>19669.601006763402</v>
      </c>
    </row>
    <row r="63" spans="1:15" x14ac:dyDescent="0.5">
      <c r="A63" s="1" t="s">
        <v>930</v>
      </c>
      <c r="B63" s="1" t="s">
        <v>29</v>
      </c>
      <c r="C63">
        <v>23045.690604535801</v>
      </c>
      <c r="D63">
        <v>5</v>
      </c>
      <c r="E63" s="2">
        <v>44962</v>
      </c>
      <c r="F63" s="1">
        <v>181</v>
      </c>
      <c r="G63" s="1">
        <v>84</v>
      </c>
      <c r="H63" s="1" t="s">
        <v>15</v>
      </c>
      <c r="I63" s="1" t="s">
        <v>33</v>
      </c>
      <c r="J63" s="1" t="s">
        <v>24</v>
      </c>
      <c r="K63" s="1" t="s">
        <v>25</v>
      </c>
      <c r="L63" s="5" t="s">
        <v>26</v>
      </c>
      <c r="M63" s="1" t="s">
        <v>55</v>
      </c>
      <c r="N63" s="1" t="str">
        <f>YEAR(sales_data[[#This Row],[Date]]) &amp; "-" &amp; TEXT(MONTH(sales_data[[#This Row],[Date]]), "00")</f>
        <v>2023-02</v>
      </c>
      <c r="O63" s="1">
        <f xml:space="preserve"> (sales_data[[#This Row],[Sales]]* (100 - sales_data[[#This Row],[Discount]]))/100</f>
        <v>21893.406074309009</v>
      </c>
    </row>
    <row r="64" spans="1:15" x14ac:dyDescent="0.5">
      <c r="A64" s="1" t="s">
        <v>969</v>
      </c>
      <c r="B64" s="1" t="s">
        <v>29</v>
      </c>
      <c r="C64">
        <v>19874.8652062742</v>
      </c>
      <c r="D64">
        <v>15</v>
      </c>
      <c r="E64" s="2">
        <v>44962</v>
      </c>
      <c r="F64" s="1">
        <v>122</v>
      </c>
      <c r="G64" s="1">
        <v>50</v>
      </c>
      <c r="H64" s="1" t="s">
        <v>15</v>
      </c>
      <c r="I64" s="1" t="s">
        <v>33</v>
      </c>
      <c r="J64" s="1" t="s">
        <v>24</v>
      </c>
      <c r="K64" s="1" t="s">
        <v>25</v>
      </c>
      <c r="L64" s="5" t="s">
        <v>54</v>
      </c>
      <c r="M64" s="1" t="s">
        <v>44</v>
      </c>
      <c r="N64" s="1" t="str">
        <f>YEAR(sales_data[[#This Row],[Date]]) &amp; "-" &amp; TEXT(MONTH(sales_data[[#This Row],[Date]]), "00")</f>
        <v>2023-02</v>
      </c>
      <c r="O64" s="1">
        <f xml:space="preserve"> (sales_data[[#This Row],[Sales]]* (100 - sales_data[[#This Row],[Discount]]))/100</f>
        <v>16893.635425333072</v>
      </c>
    </row>
    <row r="65" spans="1:15" x14ac:dyDescent="0.5">
      <c r="A65" s="1" t="s">
        <v>385</v>
      </c>
      <c r="B65" s="1" t="s">
        <v>14</v>
      </c>
      <c r="C65">
        <v>0</v>
      </c>
      <c r="D65">
        <v>5</v>
      </c>
      <c r="E65" s="2">
        <v>44963</v>
      </c>
      <c r="F65" s="1">
        <v>137</v>
      </c>
      <c r="G65" s="1">
        <v>28</v>
      </c>
      <c r="H65" s="1" t="s">
        <v>15</v>
      </c>
      <c r="I65" s="1" t="s">
        <v>16</v>
      </c>
      <c r="J65" s="1" t="s">
        <v>24</v>
      </c>
      <c r="K65" s="1" t="s">
        <v>25</v>
      </c>
      <c r="L65" s="5" t="s">
        <v>36</v>
      </c>
      <c r="M65" s="1" t="s">
        <v>20</v>
      </c>
      <c r="N65" s="1" t="str">
        <f>YEAR(sales_data[[#This Row],[Date]]) &amp; "-" &amp; TEXT(MONTH(sales_data[[#This Row],[Date]]), "00")</f>
        <v>2023-02</v>
      </c>
      <c r="O65" s="1">
        <f xml:space="preserve"> (sales_data[[#This Row],[Sales]]* (100 - sales_data[[#This Row],[Discount]]))/100</f>
        <v>0</v>
      </c>
    </row>
    <row r="66" spans="1:15" x14ac:dyDescent="0.5">
      <c r="A66" s="1" t="s">
        <v>57</v>
      </c>
      <c r="B66" s="1" t="s">
        <v>22</v>
      </c>
      <c r="C66">
        <v>12027.861706028099</v>
      </c>
      <c r="D66">
        <v>5</v>
      </c>
      <c r="E66" s="2">
        <v>44964</v>
      </c>
      <c r="F66" s="1">
        <v>145</v>
      </c>
      <c r="G66" s="1">
        <v>9</v>
      </c>
      <c r="H66" s="1" t="s">
        <v>15</v>
      </c>
      <c r="I66" s="1" t="s">
        <v>16</v>
      </c>
      <c r="J66" s="1" t="s">
        <v>34</v>
      </c>
      <c r="K66" s="1" t="s">
        <v>35</v>
      </c>
      <c r="L66" s="5" t="s">
        <v>58</v>
      </c>
      <c r="M66" s="1" t="s">
        <v>20</v>
      </c>
      <c r="N66" s="1" t="str">
        <f>YEAR(sales_data[[#This Row],[Date]]) &amp; "-" &amp; TEXT(MONTH(sales_data[[#This Row],[Date]]), "00")</f>
        <v>2023-02</v>
      </c>
      <c r="O66" s="1">
        <f xml:space="preserve"> (sales_data[[#This Row],[Sales]]* (100 - sales_data[[#This Row],[Discount]]))/100</f>
        <v>11426.468620726695</v>
      </c>
    </row>
    <row r="67" spans="1:15" x14ac:dyDescent="0.5">
      <c r="A67" s="1" t="s">
        <v>237</v>
      </c>
      <c r="B67" s="1" t="s">
        <v>29</v>
      </c>
      <c r="C67">
        <v>12607.068771100699</v>
      </c>
      <c r="D67">
        <v>15</v>
      </c>
      <c r="E67" s="2">
        <v>44964</v>
      </c>
      <c r="F67" s="1">
        <v>133</v>
      </c>
      <c r="G67" s="1">
        <v>10</v>
      </c>
      <c r="H67" s="1" t="s">
        <v>15</v>
      </c>
      <c r="I67" s="1" t="s">
        <v>16</v>
      </c>
      <c r="J67" s="1" t="s">
        <v>34</v>
      </c>
      <c r="K67" s="1" t="s">
        <v>18</v>
      </c>
      <c r="L67" s="5" t="s">
        <v>36</v>
      </c>
      <c r="M67" s="1" t="s">
        <v>44</v>
      </c>
      <c r="N67" s="1" t="str">
        <f>YEAR(sales_data[[#This Row],[Date]]) &amp; "-" &amp; TEXT(MONTH(sales_data[[#This Row],[Date]]), "00")</f>
        <v>2023-02</v>
      </c>
      <c r="O67" s="1">
        <f xml:space="preserve"> (sales_data[[#This Row],[Sales]]* (100 - sales_data[[#This Row],[Discount]]))/100</f>
        <v>10716.008455435594</v>
      </c>
    </row>
    <row r="68" spans="1:15" x14ac:dyDescent="0.5">
      <c r="A68" s="1" t="s">
        <v>773</v>
      </c>
      <c r="B68" s="1" t="s">
        <v>29</v>
      </c>
      <c r="C68">
        <v>20752.094525717799</v>
      </c>
      <c r="D68">
        <v>0</v>
      </c>
      <c r="E68" s="2">
        <v>44964</v>
      </c>
      <c r="F68" s="1">
        <v>152</v>
      </c>
      <c r="G68" s="1">
        <v>75</v>
      </c>
      <c r="H68" s="1" t="s">
        <v>15</v>
      </c>
      <c r="I68" s="1" t="s">
        <v>16</v>
      </c>
      <c r="J68" s="1" t="s">
        <v>34</v>
      </c>
      <c r="K68" s="1" t="s">
        <v>35</v>
      </c>
      <c r="L68" s="5" t="s">
        <v>58</v>
      </c>
      <c r="M68" s="1" t="s">
        <v>20</v>
      </c>
      <c r="N68" s="1" t="str">
        <f>YEAR(sales_data[[#This Row],[Date]]) &amp; "-" &amp; TEXT(MONTH(sales_data[[#This Row],[Date]]), "00")</f>
        <v>2023-02</v>
      </c>
      <c r="O68" s="1">
        <f xml:space="preserve"> (sales_data[[#This Row],[Sales]]* (100 - sales_data[[#This Row],[Discount]]))/100</f>
        <v>20752.094525717799</v>
      </c>
    </row>
    <row r="69" spans="1:15" x14ac:dyDescent="0.5">
      <c r="A69" s="1" t="s">
        <v>836</v>
      </c>
      <c r="B69" s="1" t="s">
        <v>40</v>
      </c>
      <c r="C69">
        <v>19508.301866026199</v>
      </c>
      <c r="D69">
        <v>5</v>
      </c>
      <c r="E69" s="2">
        <v>44964</v>
      </c>
      <c r="F69" s="1">
        <v>167</v>
      </c>
      <c r="G69" s="1">
        <v>87</v>
      </c>
      <c r="H69" s="1" t="s">
        <v>15</v>
      </c>
      <c r="I69" s="1" t="s">
        <v>23</v>
      </c>
      <c r="J69" s="1" t="s">
        <v>24</v>
      </c>
      <c r="K69" s="1" t="s">
        <v>18</v>
      </c>
      <c r="L69" s="5" t="s">
        <v>54</v>
      </c>
      <c r="M69" s="1" t="s">
        <v>41</v>
      </c>
      <c r="N69" s="1" t="str">
        <f>YEAR(sales_data[[#This Row],[Date]]) &amp; "-" &amp; TEXT(MONTH(sales_data[[#This Row],[Date]]), "00")</f>
        <v>2023-02</v>
      </c>
      <c r="O69" s="1">
        <f xml:space="preserve"> (sales_data[[#This Row],[Sales]]* (100 - sales_data[[#This Row],[Discount]]))/100</f>
        <v>18532.886772724887</v>
      </c>
    </row>
    <row r="70" spans="1:15" x14ac:dyDescent="0.5">
      <c r="A70" s="1" t="s">
        <v>530</v>
      </c>
      <c r="B70" s="1" t="s">
        <v>50</v>
      </c>
      <c r="C70">
        <v>16008.5137773077</v>
      </c>
      <c r="D70">
        <v>5</v>
      </c>
      <c r="E70" s="2">
        <v>44965</v>
      </c>
      <c r="F70" s="1">
        <v>133</v>
      </c>
      <c r="G70" s="1">
        <v>40</v>
      </c>
      <c r="H70" s="1" t="s">
        <v>15</v>
      </c>
      <c r="I70" s="1" t="s">
        <v>33</v>
      </c>
      <c r="J70" s="1" t="s">
        <v>17</v>
      </c>
      <c r="K70" s="1" t="s">
        <v>35</v>
      </c>
      <c r="L70" s="5" t="s">
        <v>54</v>
      </c>
      <c r="M70" s="1" t="s">
        <v>55</v>
      </c>
      <c r="N70" s="1" t="str">
        <f>YEAR(sales_data[[#This Row],[Date]]) &amp; "-" &amp; TEXT(MONTH(sales_data[[#This Row],[Date]]), "00")</f>
        <v>2023-02</v>
      </c>
      <c r="O70" s="1">
        <f xml:space="preserve"> (sales_data[[#This Row],[Sales]]* (100 - sales_data[[#This Row],[Discount]]))/100</f>
        <v>15208.088088442315</v>
      </c>
    </row>
    <row r="71" spans="1:15" x14ac:dyDescent="0.5">
      <c r="A71" s="1" t="s">
        <v>553</v>
      </c>
      <c r="B71" s="1" t="s">
        <v>22</v>
      </c>
      <c r="C71">
        <v>26910.794955187601</v>
      </c>
      <c r="D71">
        <v>15</v>
      </c>
      <c r="E71" s="2">
        <v>44965</v>
      </c>
      <c r="F71" s="1">
        <v>143</v>
      </c>
      <c r="G71" s="1">
        <v>69</v>
      </c>
      <c r="H71" s="1" t="s">
        <v>15</v>
      </c>
      <c r="I71" s="1" t="s">
        <v>16</v>
      </c>
      <c r="J71" s="1" t="s">
        <v>24</v>
      </c>
      <c r="K71" s="1" t="s">
        <v>25</v>
      </c>
      <c r="L71" s="5" t="s">
        <v>85</v>
      </c>
      <c r="M71" s="1" t="s">
        <v>31</v>
      </c>
      <c r="N71" s="1" t="str">
        <f>YEAR(sales_data[[#This Row],[Date]]) &amp; "-" &amp; TEXT(MONTH(sales_data[[#This Row],[Date]]), "00")</f>
        <v>2023-02</v>
      </c>
      <c r="O71" s="1">
        <f xml:space="preserve"> (sales_data[[#This Row],[Sales]]* (100 - sales_data[[#This Row],[Discount]]))/100</f>
        <v>22874.175711909462</v>
      </c>
    </row>
    <row r="72" spans="1:15" x14ac:dyDescent="0.5">
      <c r="A72" s="1" t="s">
        <v>554</v>
      </c>
      <c r="B72" s="1" t="s">
        <v>50</v>
      </c>
      <c r="C72">
        <v>23243.549437948201</v>
      </c>
      <c r="D72">
        <v>10</v>
      </c>
      <c r="E72" s="2">
        <v>44965</v>
      </c>
      <c r="F72" s="1">
        <v>163</v>
      </c>
      <c r="G72" s="1">
        <v>26</v>
      </c>
      <c r="H72" s="1" t="s">
        <v>15</v>
      </c>
      <c r="I72" s="1" t="s">
        <v>23</v>
      </c>
      <c r="J72" s="1" t="s">
        <v>24</v>
      </c>
      <c r="K72" s="1" t="s">
        <v>35</v>
      </c>
      <c r="L72" s="5" t="s">
        <v>30</v>
      </c>
      <c r="M72" s="1" t="s">
        <v>48</v>
      </c>
      <c r="N72" s="1" t="str">
        <f>YEAR(sales_data[[#This Row],[Date]]) &amp; "-" &amp; TEXT(MONTH(sales_data[[#This Row],[Date]]), "00")</f>
        <v>2023-02</v>
      </c>
      <c r="O72" s="1">
        <f xml:space="preserve"> (sales_data[[#This Row],[Sales]]* (100 - sales_data[[#This Row],[Discount]]))/100</f>
        <v>20919.19449415338</v>
      </c>
    </row>
    <row r="73" spans="1:15" x14ac:dyDescent="0.5">
      <c r="A73" s="1" t="s">
        <v>908</v>
      </c>
      <c r="B73" s="1" t="s">
        <v>50</v>
      </c>
      <c r="C73">
        <v>12220.5217689818</v>
      </c>
      <c r="D73">
        <v>15</v>
      </c>
      <c r="E73" s="2">
        <v>44966</v>
      </c>
      <c r="F73" s="1">
        <v>133</v>
      </c>
      <c r="G73" s="1">
        <v>94</v>
      </c>
      <c r="H73" s="1" t="s">
        <v>15</v>
      </c>
      <c r="I73" s="1" t="s">
        <v>23</v>
      </c>
      <c r="J73" s="1" t="s">
        <v>24</v>
      </c>
      <c r="K73" s="1" t="s">
        <v>25</v>
      </c>
      <c r="L73" s="5" t="s">
        <v>58</v>
      </c>
      <c r="M73" s="1" t="s">
        <v>44</v>
      </c>
      <c r="N73" s="1" t="str">
        <f>YEAR(sales_data[[#This Row],[Date]]) &amp; "-" &amp; TEXT(MONTH(sales_data[[#This Row],[Date]]), "00")</f>
        <v>2023-02</v>
      </c>
      <c r="O73" s="1">
        <f xml:space="preserve"> (sales_data[[#This Row],[Sales]]* (100 - sales_data[[#This Row],[Discount]]))/100</f>
        <v>10387.443503634531</v>
      </c>
    </row>
    <row r="74" spans="1:15" x14ac:dyDescent="0.5">
      <c r="A74" s="1" t="s">
        <v>281</v>
      </c>
      <c r="B74" s="1" t="s">
        <v>50</v>
      </c>
      <c r="C74">
        <v>29410.1224823751</v>
      </c>
      <c r="D74">
        <v>5</v>
      </c>
      <c r="E74" s="2">
        <v>44967</v>
      </c>
      <c r="F74" s="1">
        <v>168</v>
      </c>
      <c r="G74" s="1">
        <v>65</v>
      </c>
      <c r="H74" s="1" t="s">
        <v>38</v>
      </c>
      <c r="I74" s="1" t="s">
        <v>23</v>
      </c>
      <c r="J74" s="1" t="s">
        <v>34</v>
      </c>
      <c r="K74" s="1" t="s">
        <v>35</v>
      </c>
      <c r="L74" s="5" t="s">
        <v>43</v>
      </c>
      <c r="M74" s="1" t="s">
        <v>55</v>
      </c>
      <c r="N74" s="1" t="str">
        <f>YEAR(sales_data[[#This Row],[Date]]) &amp; "-" &amp; TEXT(MONTH(sales_data[[#This Row],[Date]]), "00")</f>
        <v>2023-02</v>
      </c>
      <c r="O74" s="1">
        <f xml:space="preserve"> (sales_data[[#This Row],[Sales]]* (100 - sales_data[[#This Row],[Discount]]))/100</f>
        <v>27939.616358256346</v>
      </c>
    </row>
    <row r="75" spans="1:15" x14ac:dyDescent="0.5">
      <c r="A75" s="1" t="s">
        <v>425</v>
      </c>
      <c r="B75" s="1" t="s">
        <v>22</v>
      </c>
      <c r="C75">
        <v>19825.057547515102</v>
      </c>
      <c r="D75">
        <v>10</v>
      </c>
      <c r="E75" s="2">
        <v>44967</v>
      </c>
      <c r="F75" s="1">
        <v>135</v>
      </c>
      <c r="G75" s="1">
        <v>1</v>
      </c>
      <c r="H75" s="1" t="s">
        <v>15</v>
      </c>
      <c r="I75" s="1" t="s">
        <v>33</v>
      </c>
      <c r="J75" s="1" t="s">
        <v>24</v>
      </c>
      <c r="K75" s="1" t="s">
        <v>18</v>
      </c>
      <c r="L75" s="5" t="s">
        <v>26</v>
      </c>
      <c r="M75" s="1" t="s">
        <v>27</v>
      </c>
      <c r="N75" s="1" t="str">
        <f>YEAR(sales_data[[#This Row],[Date]]) &amp; "-" &amp; TEXT(MONTH(sales_data[[#This Row],[Date]]), "00")</f>
        <v>2023-02</v>
      </c>
      <c r="O75" s="1">
        <f xml:space="preserve"> (sales_data[[#This Row],[Sales]]* (100 - sales_data[[#This Row],[Discount]]))/100</f>
        <v>17842.551792763592</v>
      </c>
    </row>
    <row r="76" spans="1:15" x14ac:dyDescent="0.5">
      <c r="A76" s="1" t="s">
        <v>468</v>
      </c>
      <c r="B76" s="1" t="s">
        <v>14</v>
      </c>
      <c r="C76">
        <v>15526.9634889024</v>
      </c>
      <c r="D76">
        <v>0</v>
      </c>
      <c r="E76" s="2">
        <v>44967</v>
      </c>
      <c r="F76" s="1">
        <v>159</v>
      </c>
      <c r="G76" s="1">
        <v>61</v>
      </c>
      <c r="H76" s="1" t="s">
        <v>15</v>
      </c>
      <c r="I76" s="1" t="s">
        <v>16</v>
      </c>
      <c r="J76" s="1" t="s">
        <v>17</v>
      </c>
      <c r="K76" s="1" t="s">
        <v>25</v>
      </c>
      <c r="L76" s="5" t="s">
        <v>54</v>
      </c>
      <c r="M76" s="1" t="s">
        <v>20</v>
      </c>
      <c r="N76" s="1" t="str">
        <f>YEAR(sales_data[[#This Row],[Date]]) &amp; "-" &amp; TEXT(MONTH(sales_data[[#This Row],[Date]]), "00")</f>
        <v>2023-02</v>
      </c>
      <c r="O76" s="1">
        <f xml:space="preserve"> (sales_data[[#This Row],[Sales]]* (100 - sales_data[[#This Row],[Discount]]))/100</f>
        <v>15526.9634889024</v>
      </c>
    </row>
    <row r="77" spans="1:15" x14ac:dyDescent="0.5">
      <c r="A77" s="1" t="s">
        <v>582</v>
      </c>
      <c r="B77" s="1" t="s">
        <v>14</v>
      </c>
      <c r="C77">
        <v>16499.395925304099</v>
      </c>
      <c r="D77">
        <v>5</v>
      </c>
      <c r="E77" s="2">
        <v>44967</v>
      </c>
      <c r="F77" s="1">
        <v>132</v>
      </c>
      <c r="G77" s="1">
        <v>51</v>
      </c>
      <c r="H77" s="1" t="s">
        <v>15</v>
      </c>
      <c r="I77" s="1" t="s">
        <v>33</v>
      </c>
      <c r="J77" s="1" t="s">
        <v>24</v>
      </c>
      <c r="K77" s="1" t="s">
        <v>25</v>
      </c>
      <c r="L77" s="5" t="s">
        <v>30</v>
      </c>
      <c r="M77" s="1" t="s">
        <v>27</v>
      </c>
      <c r="N77" s="1" t="str">
        <f>YEAR(sales_data[[#This Row],[Date]]) &amp; "-" &amp; TEXT(MONTH(sales_data[[#This Row],[Date]]), "00")</f>
        <v>2023-02</v>
      </c>
      <c r="O77" s="1">
        <f xml:space="preserve"> (sales_data[[#This Row],[Sales]]* (100 - sales_data[[#This Row],[Discount]]))/100</f>
        <v>15674.426129038895</v>
      </c>
    </row>
    <row r="78" spans="1:15" x14ac:dyDescent="0.5">
      <c r="A78" s="1" t="s">
        <v>62</v>
      </c>
      <c r="B78" s="1" t="s">
        <v>22</v>
      </c>
      <c r="C78">
        <v>17749.672642603698</v>
      </c>
      <c r="D78">
        <v>5</v>
      </c>
      <c r="E78" s="2">
        <v>44968</v>
      </c>
      <c r="F78" s="1">
        <v>119</v>
      </c>
      <c r="G78" s="1">
        <v>10</v>
      </c>
      <c r="H78" s="1" t="s">
        <v>15</v>
      </c>
      <c r="I78" s="1" t="s">
        <v>33</v>
      </c>
      <c r="J78" s="1" t="s">
        <v>34</v>
      </c>
      <c r="K78" s="1" t="s">
        <v>18</v>
      </c>
      <c r="L78" s="5" t="s">
        <v>43</v>
      </c>
      <c r="M78" s="1" t="s">
        <v>27</v>
      </c>
      <c r="N78" s="1" t="str">
        <f>YEAR(sales_data[[#This Row],[Date]]) &amp; "-" &amp; TEXT(MONTH(sales_data[[#This Row],[Date]]), "00")</f>
        <v>2023-02</v>
      </c>
      <c r="O78" s="1">
        <f xml:space="preserve"> (sales_data[[#This Row],[Sales]]* (100 - sales_data[[#This Row],[Discount]]))/100</f>
        <v>16862.189010473514</v>
      </c>
    </row>
    <row r="79" spans="1:15" x14ac:dyDescent="0.5">
      <c r="A79" s="1" t="s">
        <v>432</v>
      </c>
      <c r="B79" s="1" t="s">
        <v>14</v>
      </c>
      <c r="C79">
        <v>24862.772248133599</v>
      </c>
      <c r="D79">
        <v>0</v>
      </c>
      <c r="E79" s="2">
        <v>44968</v>
      </c>
      <c r="F79" s="1">
        <v>107</v>
      </c>
      <c r="G79" s="1">
        <v>21</v>
      </c>
      <c r="H79" s="1" t="s">
        <v>15</v>
      </c>
      <c r="I79" s="1" t="s">
        <v>16</v>
      </c>
      <c r="J79" s="1" t="s">
        <v>17</v>
      </c>
      <c r="K79" s="1" t="s">
        <v>35</v>
      </c>
      <c r="L79" s="5" t="s">
        <v>30</v>
      </c>
      <c r="M79" s="1" t="s">
        <v>20</v>
      </c>
      <c r="N79" s="1" t="str">
        <f>YEAR(sales_data[[#This Row],[Date]]) &amp; "-" &amp; TEXT(MONTH(sales_data[[#This Row],[Date]]), "00")</f>
        <v>2023-02</v>
      </c>
      <c r="O79" s="1">
        <f xml:space="preserve"> (sales_data[[#This Row],[Sales]]* (100 - sales_data[[#This Row],[Discount]]))/100</f>
        <v>24862.772248133599</v>
      </c>
    </row>
    <row r="80" spans="1:15" x14ac:dyDescent="0.5">
      <c r="A80" s="1" t="s">
        <v>586</v>
      </c>
      <c r="B80" s="1" t="s">
        <v>50</v>
      </c>
      <c r="C80">
        <v>21886.059375322598</v>
      </c>
      <c r="D80">
        <v>0</v>
      </c>
      <c r="E80" s="2">
        <v>44968</v>
      </c>
      <c r="F80" s="1">
        <v>154</v>
      </c>
      <c r="G80" s="1">
        <v>83</v>
      </c>
      <c r="H80" s="1" t="s">
        <v>15</v>
      </c>
      <c r="I80" s="1" t="s">
        <v>33</v>
      </c>
      <c r="J80" s="1" t="s">
        <v>24</v>
      </c>
      <c r="K80" s="1" t="s">
        <v>25</v>
      </c>
      <c r="L80" s="5" t="s">
        <v>85</v>
      </c>
      <c r="M80" s="1" t="s">
        <v>20</v>
      </c>
      <c r="N80" s="1" t="str">
        <f>YEAR(sales_data[[#This Row],[Date]]) &amp; "-" &amp; TEXT(MONTH(sales_data[[#This Row],[Date]]), "00")</f>
        <v>2023-02</v>
      </c>
      <c r="O80" s="1">
        <f xml:space="preserve"> (sales_data[[#This Row],[Sales]]* (100 - sales_data[[#This Row],[Discount]]))/100</f>
        <v>21886.059375322602</v>
      </c>
    </row>
    <row r="81" spans="1:15" x14ac:dyDescent="0.5">
      <c r="A81" s="1" t="s">
        <v>103</v>
      </c>
      <c r="B81" s="1" t="s">
        <v>14</v>
      </c>
      <c r="C81">
        <v>13477.652497475699</v>
      </c>
      <c r="D81">
        <v>0</v>
      </c>
      <c r="E81" s="2">
        <v>44969</v>
      </c>
      <c r="F81" s="1">
        <v>132</v>
      </c>
      <c r="G81" s="1">
        <v>55</v>
      </c>
      <c r="H81" s="1" t="s">
        <v>15</v>
      </c>
      <c r="I81" s="1" t="s">
        <v>33</v>
      </c>
      <c r="J81" s="1" t="s">
        <v>24</v>
      </c>
      <c r="K81" s="1" t="s">
        <v>35</v>
      </c>
      <c r="L81" s="5" t="s">
        <v>38</v>
      </c>
      <c r="M81" s="1" t="s">
        <v>44</v>
      </c>
      <c r="N81" s="1" t="str">
        <f>YEAR(sales_data[[#This Row],[Date]]) &amp; "-" &amp; TEXT(MONTH(sales_data[[#This Row],[Date]]), "00")</f>
        <v>2023-02</v>
      </c>
      <c r="O81" s="1">
        <f xml:space="preserve"> (sales_data[[#This Row],[Sales]]* (100 - sales_data[[#This Row],[Discount]]))/100</f>
        <v>13477.652497475699</v>
      </c>
    </row>
    <row r="82" spans="1:15" x14ac:dyDescent="0.5">
      <c r="A82" s="1" t="s">
        <v>497</v>
      </c>
      <c r="B82" s="1" t="s">
        <v>50</v>
      </c>
      <c r="C82">
        <v>24921.611992382899</v>
      </c>
      <c r="D82">
        <v>10</v>
      </c>
      <c r="E82" s="2">
        <v>44969</v>
      </c>
      <c r="F82" s="1">
        <v>185</v>
      </c>
      <c r="G82" s="1">
        <v>66</v>
      </c>
      <c r="H82" s="1" t="s">
        <v>15</v>
      </c>
      <c r="I82" s="1" t="s">
        <v>23</v>
      </c>
      <c r="J82" s="1" t="s">
        <v>34</v>
      </c>
      <c r="K82" s="1" t="s">
        <v>18</v>
      </c>
      <c r="L82" s="5" t="s">
        <v>38</v>
      </c>
      <c r="M82" s="1" t="s">
        <v>41</v>
      </c>
      <c r="N82" s="1" t="str">
        <f>YEAR(sales_data[[#This Row],[Date]]) &amp; "-" &amp; TEXT(MONTH(sales_data[[#This Row],[Date]]), "00")</f>
        <v>2023-02</v>
      </c>
      <c r="O82" s="1">
        <f xml:space="preserve"> (sales_data[[#This Row],[Sales]]* (100 - sales_data[[#This Row],[Discount]]))/100</f>
        <v>22429.45079314461</v>
      </c>
    </row>
    <row r="83" spans="1:15" x14ac:dyDescent="0.5">
      <c r="A83" s="1" t="s">
        <v>99</v>
      </c>
      <c r="B83" s="1" t="s">
        <v>14</v>
      </c>
      <c r="C83">
        <v>21920.327244696498</v>
      </c>
      <c r="D83">
        <v>10</v>
      </c>
      <c r="E83" s="2">
        <v>44971</v>
      </c>
      <c r="F83" s="1">
        <v>171</v>
      </c>
      <c r="G83" s="1">
        <v>63</v>
      </c>
      <c r="H83" s="1" t="s">
        <v>15</v>
      </c>
      <c r="I83" s="1" t="s">
        <v>23</v>
      </c>
      <c r="J83" s="1" t="s">
        <v>24</v>
      </c>
      <c r="K83" s="1" t="s">
        <v>25</v>
      </c>
      <c r="L83" s="5" t="s">
        <v>36</v>
      </c>
      <c r="M83" s="1" t="s">
        <v>48</v>
      </c>
      <c r="N83" s="1" t="str">
        <f>YEAR(sales_data[[#This Row],[Date]]) &amp; "-" &amp; TEXT(MONTH(sales_data[[#This Row],[Date]]), "00")</f>
        <v>2023-02</v>
      </c>
      <c r="O83" s="1">
        <f xml:space="preserve"> (sales_data[[#This Row],[Sales]]* (100 - sales_data[[#This Row],[Discount]]))/100</f>
        <v>19728.294520226846</v>
      </c>
    </row>
    <row r="84" spans="1:15" x14ac:dyDescent="0.5">
      <c r="A84" s="1" t="s">
        <v>675</v>
      </c>
      <c r="B84" s="1" t="s">
        <v>29</v>
      </c>
      <c r="C84">
        <v>16742.9099819277</v>
      </c>
      <c r="D84">
        <v>0</v>
      </c>
      <c r="E84" s="2">
        <v>44971</v>
      </c>
      <c r="F84" s="1">
        <v>109</v>
      </c>
      <c r="G84" s="1">
        <v>16</v>
      </c>
      <c r="H84" s="1" t="s">
        <v>15</v>
      </c>
      <c r="I84" s="1" t="s">
        <v>33</v>
      </c>
      <c r="J84" s="1" t="s">
        <v>17</v>
      </c>
      <c r="K84" s="1" t="s">
        <v>35</v>
      </c>
      <c r="L84" s="5" t="s">
        <v>19</v>
      </c>
      <c r="M84" s="1" t="s">
        <v>41</v>
      </c>
      <c r="N84" s="1" t="str">
        <f>YEAR(sales_data[[#This Row],[Date]]) &amp; "-" &amp; TEXT(MONTH(sales_data[[#This Row],[Date]]), "00")</f>
        <v>2023-02</v>
      </c>
      <c r="O84" s="1">
        <f xml:space="preserve"> (sales_data[[#This Row],[Sales]]* (100 - sales_data[[#This Row],[Discount]]))/100</f>
        <v>16742.9099819277</v>
      </c>
    </row>
    <row r="85" spans="1:15" x14ac:dyDescent="0.5">
      <c r="A85" s="1" t="s">
        <v>942</v>
      </c>
      <c r="B85" s="1" t="s">
        <v>22</v>
      </c>
      <c r="C85">
        <v>24783.511583972901</v>
      </c>
      <c r="D85">
        <v>5</v>
      </c>
      <c r="E85" s="2">
        <v>44971</v>
      </c>
      <c r="F85" s="1">
        <v>104</v>
      </c>
      <c r="G85" s="1">
        <v>53</v>
      </c>
      <c r="H85" s="1" t="s">
        <v>15</v>
      </c>
      <c r="I85" s="1" t="s">
        <v>33</v>
      </c>
      <c r="J85" s="1" t="s">
        <v>17</v>
      </c>
      <c r="K85" s="1" t="s">
        <v>18</v>
      </c>
      <c r="L85" s="5" t="s">
        <v>36</v>
      </c>
      <c r="M85" s="1" t="s">
        <v>44</v>
      </c>
      <c r="N85" s="1" t="str">
        <f>YEAR(sales_data[[#This Row],[Date]]) &amp; "-" &amp; TEXT(MONTH(sales_data[[#This Row],[Date]]), "00")</f>
        <v>2023-02</v>
      </c>
      <c r="O85" s="1">
        <f xml:space="preserve"> (sales_data[[#This Row],[Sales]]* (100 - sales_data[[#This Row],[Discount]]))/100</f>
        <v>23544.336004774254</v>
      </c>
    </row>
    <row r="86" spans="1:15" x14ac:dyDescent="0.5">
      <c r="A86" s="1" t="s">
        <v>1007</v>
      </c>
      <c r="B86" s="1" t="s">
        <v>50</v>
      </c>
      <c r="C86">
        <v>13165.606507922799</v>
      </c>
      <c r="D86">
        <v>5</v>
      </c>
      <c r="E86" s="2">
        <v>44971</v>
      </c>
      <c r="F86" s="1">
        <v>140</v>
      </c>
      <c r="G86" s="1">
        <v>82</v>
      </c>
      <c r="H86" s="1" t="s">
        <v>15</v>
      </c>
      <c r="I86" s="1" t="s">
        <v>33</v>
      </c>
      <c r="J86" s="1" t="s">
        <v>24</v>
      </c>
      <c r="K86" s="1" t="s">
        <v>18</v>
      </c>
      <c r="L86" s="5" t="s">
        <v>26</v>
      </c>
      <c r="M86" s="1" t="s">
        <v>31</v>
      </c>
      <c r="N86" s="1" t="str">
        <f>YEAR(sales_data[[#This Row],[Date]]) &amp; "-" &amp; TEXT(MONTH(sales_data[[#This Row],[Date]]), "00")</f>
        <v>2023-02</v>
      </c>
      <c r="O86" s="1">
        <f xml:space="preserve"> (sales_data[[#This Row],[Sales]]* (100 - sales_data[[#This Row],[Discount]]))/100</f>
        <v>12507.32618252666</v>
      </c>
    </row>
    <row r="87" spans="1:15" x14ac:dyDescent="0.5">
      <c r="A87" s="1" t="s">
        <v>1013</v>
      </c>
      <c r="B87" s="1" t="s">
        <v>50</v>
      </c>
      <c r="C87">
        <v>17117.447996366402</v>
      </c>
      <c r="D87">
        <v>0</v>
      </c>
      <c r="E87" s="2">
        <v>44971</v>
      </c>
      <c r="F87" s="1">
        <v>109</v>
      </c>
      <c r="G87" s="1">
        <v>2</v>
      </c>
      <c r="H87" s="1" t="s">
        <v>15</v>
      </c>
      <c r="I87" s="1" t="s">
        <v>33</v>
      </c>
      <c r="J87" s="1" t="s">
        <v>17</v>
      </c>
      <c r="K87" s="1" t="s">
        <v>18</v>
      </c>
      <c r="L87" s="5" t="s">
        <v>36</v>
      </c>
      <c r="M87" s="1" t="s">
        <v>55</v>
      </c>
      <c r="N87" s="1" t="str">
        <f>YEAR(sales_data[[#This Row],[Date]]) &amp; "-" &amp; TEXT(MONTH(sales_data[[#This Row],[Date]]), "00")</f>
        <v>2023-02</v>
      </c>
      <c r="O87" s="1">
        <f xml:space="preserve"> (sales_data[[#This Row],[Sales]]* (100 - sales_data[[#This Row],[Discount]]))/100</f>
        <v>17117.447996366402</v>
      </c>
    </row>
    <row r="88" spans="1:15" x14ac:dyDescent="0.5">
      <c r="A88" s="1" t="s">
        <v>641</v>
      </c>
      <c r="B88" s="1" t="s">
        <v>29</v>
      </c>
      <c r="C88">
        <v>15165.119284353899</v>
      </c>
      <c r="D88">
        <v>5</v>
      </c>
      <c r="E88" s="2">
        <v>44972</v>
      </c>
      <c r="F88" s="1">
        <v>106</v>
      </c>
      <c r="G88" s="1">
        <v>62</v>
      </c>
      <c r="H88" s="1" t="s">
        <v>15</v>
      </c>
      <c r="I88" s="1" t="s">
        <v>33</v>
      </c>
      <c r="J88" s="1" t="s">
        <v>34</v>
      </c>
      <c r="K88" s="1" t="s">
        <v>25</v>
      </c>
      <c r="L88" s="5" t="s">
        <v>30</v>
      </c>
      <c r="M88" s="1" t="s">
        <v>27</v>
      </c>
      <c r="N88" s="1" t="str">
        <f>YEAR(sales_data[[#This Row],[Date]]) &amp; "-" &amp; TEXT(MONTH(sales_data[[#This Row],[Date]]), "00")</f>
        <v>2023-02</v>
      </c>
      <c r="O88" s="1">
        <f xml:space="preserve"> (sales_data[[#This Row],[Sales]]* (100 - sales_data[[#This Row],[Discount]]))/100</f>
        <v>14406.863320136204</v>
      </c>
    </row>
    <row r="89" spans="1:15" x14ac:dyDescent="0.5">
      <c r="A89" s="1" t="s">
        <v>502</v>
      </c>
      <c r="B89" s="1" t="s">
        <v>22</v>
      </c>
      <c r="C89">
        <v>0</v>
      </c>
      <c r="D89">
        <v>10</v>
      </c>
      <c r="E89" s="2">
        <v>44973</v>
      </c>
      <c r="F89" s="1">
        <v>131</v>
      </c>
      <c r="G89" s="1">
        <v>33</v>
      </c>
      <c r="H89" s="1" t="s">
        <v>15</v>
      </c>
      <c r="I89" s="1" t="s">
        <v>33</v>
      </c>
      <c r="J89" s="1" t="s">
        <v>34</v>
      </c>
      <c r="K89" s="1" t="s">
        <v>18</v>
      </c>
      <c r="L89" s="5" t="s">
        <v>36</v>
      </c>
      <c r="M89" s="1" t="s">
        <v>31</v>
      </c>
      <c r="N89" s="1" t="str">
        <f>YEAR(sales_data[[#This Row],[Date]]) &amp; "-" &amp; TEXT(MONTH(sales_data[[#This Row],[Date]]), "00")</f>
        <v>2023-02</v>
      </c>
      <c r="O89" s="1">
        <f xml:space="preserve"> (sales_data[[#This Row],[Sales]]* (100 - sales_data[[#This Row],[Discount]]))/100</f>
        <v>0</v>
      </c>
    </row>
    <row r="90" spans="1:15" x14ac:dyDescent="0.5">
      <c r="A90" s="1" t="s">
        <v>391</v>
      </c>
      <c r="B90" s="1" t="s">
        <v>14</v>
      </c>
      <c r="C90">
        <v>22041.263778572302</v>
      </c>
      <c r="D90">
        <v>0</v>
      </c>
      <c r="E90" s="2">
        <v>44974</v>
      </c>
      <c r="F90" s="1">
        <v>160</v>
      </c>
      <c r="G90" s="1">
        <v>56</v>
      </c>
      <c r="H90" s="1" t="s">
        <v>38</v>
      </c>
      <c r="I90" s="1" t="s">
        <v>33</v>
      </c>
      <c r="J90" s="1" t="s">
        <v>24</v>
      </c>
      <c r="K90" s="1" t="s">
        <v>35</v>
      </c>
      <c r="L90" s="5" t="s">
        <v>38</v>
      </c>
      <c r="M90" s="1" t="s">
        <v>44</v>
      </c>
      <c r="N90" s="1" t="str">
        <f>YEAR(sales_data[[#This Row],[Date]]) &amp; "-" &amp; TEXT(MONTH(sales_data[[#This Row],[Date]]), "00")</f>
        <v>2023-02</v>
      </c>
      <c r="O90" s="1">
        <f xml:space="preserve"> (sales_data[[#This Row],[Sales]]* (100 - sales_data[[#This Row],[Discount]]))/100</f>
        <v>22041.263778572302</v>
      </c>
    </row>
    <row r="91" spans="1:15" x14ac:dyDescent="0.5">
      <c r="A91" s="1" t="s">
        <v>521</v>
      </c>
      <c r="B91" s="1" t="s">
        <v>29</v>
      </c>
      <c r="C91">
        <v>27737.5260066503</v>
      </c>
      <c r="D91">
        <v>0</v>
      </c>
      <c r="E91" s="2">
        <v>44974</v>
      </c>
      <c r="F91" s="1">
        <v>103</v>
      </c>
      <c r="G91" s="1">
        <v>72</v>
      </c>
      <c r="H91" s="1" t="s">
        <v>15</v>
      </c>
      <c r="I91" s="1" t="s">
        <v>23</v>
      </c>
      <c r="J91" s="1" t="s">
        <v>34</v>
      </c>
      <c r="K91" s="1" t="s">
        <v>35</v>
      </c>
      <c r="L91" s="5" t="s">
        <v>46</v>
      </c>
      <c r="M91" s="1" t="s">
        <v>31</v>
      </c>
      <c r="N91" s="1" t="str">
        <f>YEAR(sales_data[[#This Row],[Date]]) &amp; "-" &amp; TEXT(MONTH(sales_data[[#This Row],[Date]]), "00")</f>
        <v>2023-02</v>
      </c>
      <c r="O91" s="1">
        <f xml:space="preserve"> (sales_data[[#This Row],[Sales]]* (100 - sales_data[[#This Row],[Discount]]))/100</f>
        <v>27737.5260066503</v>
      </c>
    </row>
    <row r="92" spans="1:15" x14ac:dyDescent="0.5">
      <c r="A92" s="1" t="s">
        <v>624</v>
      </c>
      <c r="B92" s="1" t="s">
        <v>50</v>
      </c>
      <c r="C92">
        <v>27200.586077247299</v>
      </c>
      <c r="D92">
        <v>10</v>
      </c>
      <c r="E92" s="2">
        <v>44974</v>
      </c>
      <c r="F92" s="1">
        <v>101</v>
      </c>
      <c r="G92" s="1">
        <v>83</v>
      </c>
      <c r="H92" s="1" t="s">
        <v>15</v>
      </c>
      <c r="I92" s="1" t="s">
        <v>16</v>
      </c>
      <c r="J92" s="1" t="s">
        <v>34</v>
      </c>
      <c r="K92" s="1" t="s">
        <v>25</v>
      </c>
      <c r="L92" s="5" t="s">
        <v>19</v>
      </c>
      <c r="M92" s="1" t="s">
        <v>31</v>
      </c>
      <c r="N92" s="1" t="str">
        <f>YEAR(sales_data[[#This Row],[Date]]) &amp; "-" &amp; TEXT(MONTH(sales_data[[#This Row],[Date]]), "00")</f>
        <v>2023-02</v>
      </c>
      <c r="O92" s="1">
        <f xml:space="preserve"> (sales_data[[#This Row],[Sales]]* (100 - sales_data[[#This Row],[Discount]]))/100</f>
        <v>24480.527469522571</v>
      </c>
    </row>
    <row r="93" spans="1:15" x14ac:dyDescent="0.5">
      <c r="A93" s="1" t="s">
        <v>776</v>
      </c>
      <c r="B93" s="1" t="s">
        <v>29</v>
      </c>
      <c r="C93">
        <v>19711.906014831999</v>
      </c>
      <c r="D93">
        <v>0</v>
      </c>
      <c r="E93" s="2">
        <v>44974</v>
      </c>
      <c r="F93" s="1">
        <v>194</v>
      </c>
      <c r="G93" s="1">
        <v>38</v>
      </c>
      <c r="H93" s="1" t="s">
        <v>15</v>
      </c>
      <c r="I93" s="1" t="s">
        <v>23</v>
      </c>
      <c r="J93" s="1" t="s">
        <v>17</v>
      </c>
      <c r="K93" s="1" t="s">
        <v>25</v>
      </c>
      <c r="L93" s="5" t="s">
        <v>54</v>
      </c>
      <c r="M93" s="1" t="s">
        <v>41</v>
      </c>
      <c r="N93" s="1" t="str">
        <f>YEAR(sales_data[[#This Row],[Date]]) &amp; "-" &amp; TEXT(MONTH(sales_data[[#This Row],[Date]]), "00")</f>
        <v>2023-02</v>
      </c>
      <c r="O93" s="1">
        <f xml:space="preserve"> (sales_data[[#This Row],[Sales]]* (100 - sales_data[[#This Row],[Discount]]))/100</f>
        <v>19711.906014831999</v>
      </c>
    </row>
    <row r="94" spans="1:15" x14ac:dyDescent="0.5">
      <c r="A94" s="1" t="s">
        <v>996</v>
      </c>
      <c r="B94" s="1" t="s">
        <v>22</v>
      </c>
      <c r="C94">
        <v>0</v>
      </c>
      <c r="D94">
        <v>15</v>
      </c>
      <c r="E94" s="2">
        <v>44974</v>
      </c>
      <c r="F94" s="1">
        <v>166</v>
      </c>
      <c r="G94" s="1">
        <v>39</v>
      </c>
      <c r="H94" s="1" t="s">
        <v>15</v>
      </c>
      <c r="I94" s="1" t="s">
        <v>23</v>
      </c>
      <c r="J94" s="1" t="s">
        <v>34</v>
      </c>
      <c r="K94" s="1" t="s">
        <v>18</v>
      </c>
      <c r="L94" s="5" t="s">
        <v>38</v>
      </c>
      <c r="M94" s="1" t="s">
        <v>55</v>
      </c>
      <c r="N94" s="1" t="str">
        <f>YEAR(sales_data[[#This Row],[Date]]) &amp; "-" &amp; TEXT(MONTH(sales_data[[#This Row],[Date]]), "00")</f>
        <v>2023-02</v>
      </c>
      <c r="O94" s="1">
        <f xml:space="preserve"> (sales_data[[#This Row],[Sales]]* (100 - sales_data[[#This Row],[Discount]]))/100</f>
        <v>0</v>
      </c>
    </row>
    <row r="95" spans="1:15" x14ac:dyDescent="0.5">
      <c r="A95" s="1" t="s">
        <v>347</v>
      </c>
      <c r="B95" s="1" t="s">
        <v>14</v>
      </c>
      <c r="C95">
        <v>23554.7998410174</v>
      </c>
      <c r="D95">
        <v>0</v>
      </c>
      <c r="E95" s="2">
        <v>44975</v>
      </c>
      <c r="F95" s="1">
        <v>147</v>
      </c>
      <c r="G95" s="1">
        <v>69</v>
      </c>
      <c r="H95" s="1" t="s">
        <v>15</v>
      </c>
      <c r="I95" s="1" t="s">
        <v>33</v>
      </c>
      <c r="J95" s="1" t="s">
        <v>34</v>
      </c>
      <c r="K95" s="1" t="s">
        <v>35</v>
      </c>
      <c r="L95" s="5" t="s">
        <v>19</v>
      </c>
      <c r="M95" s="1" t="s">
        <v>48</v>
      </c>
      <c r="N95" s="1" t="str">
        <f>YEAR(sales_data[[#This Row],[Date]]) &amp; "-" &amp; TEXT(MONTH(sales_data[[#This Row],[Date]]), "00")</f>
        <v>2023-02</v>
      </c>
      <c r="O95" s="1">
        <f xml:space="preserve"> (sales_data[[#This Row],[Sales]]* (100 - sales_data[[#This Row],[Discount]]))/100</f>
        <v>23554.7998410174</v>
      </c>
    </row>
    <row r="96" spans="1:15" x14ac:dyDescent="0.5">
      <c r="A96" s="1" t="s">
        <v>338</v>
      </c>
      <c r="B96" s="1" t="s">
        <v>50</v>
      </c>
      <c r="C96">
        <v>26357.775474970698</v>
      </c>
      <c r="D96">
        <v>0</v>
      </c>
      <c r="E96" s="2">
        <v>44976</v>
      </c>
      <c r="F96" s="1">
        <v>155</v>
      </c>
      <c r="G96" s="1">
        <v>84</v>
      </c>
      <c r="H96" s="1" t="s">
        <v>15</v>
      </c>
      <c r="I96" s="1" t="s">
        <v>33</v>
      </c>
      <c r="J96" s="1" t="s">
        <v>34</v>
      </c>
      <c r="K96" s="1" t="s">
        <v>35</v>
      </c>
      <c r="L96" s="5" t="s">
        <v>46</v>
      </c>
      <c r="M96" s="1" t="s">
        <v>31</v>
      </c>
      <c r="N96" s="1" t="str">
        <f>YEAR(sales_data[[#This Row],[Date]]) &amp; "-" &amp; TEXT(MONTH(sales_data[[#This Row],[Date]]), "00")</f>
        <v>2023-02</v>
      </c>
      <c r="O96" s="1">
        <f xml:space="preserve"> (sales_data[[#This Row],[Sales]]* (100 - sales_data[[#This Row],[Discount]]))/100</f>
        <v>26357.775474970698</v>
      </c>
    </row>
    <row r="97" spans="1:15" x14ac:dyDescent="0.5">
      <c r="A97" s="1" t="s">
        <v>950</v>
      </c>
      <c r="B97" s="1" t="s">
        <v>50</v>
      </c>
      <c r="C97">
        <v>32464.9975871639</v>
      </c>
      <c r="D97">
        <v>0</v>
      </c>
      <c r="E97" s="2">
        <v>44976</v>
      </c>
      <c r="F97" s="1">
        <v>168</v>
      </c>
      <c r="G97" s="1">
        <v>81</v>
      </c>
      <c r="H97" s="1" t="s">
        <v>15</v>
      </c>
      <c r="I97" s="1" t="s">
        <v>23</v>
      </c>
      <c r="J97" s="1" t="s">
        <v>24</v>
      </c>
      <c r="K97" s="1" t="s">
        <v>18</v>
      </c>
      <c r="L97" s="5" t="s">
        <v>43</v>
      </c>
      <c r="M97" s="1" t="s">
        <v>48</v>
      </c>
      <c r="N97" s="1" t="str">
        <f>YEAR(sales_data[[#This Row],[Date]]) &amp; "-" &amp; TEXT(MONTH(sales_data[[#This Row],[Date]]), "00")</f>
        <v>2023-02</v>
      </c>
      <c r="O97" s="1">
        <f xml:space="preserve"> (sales_data[[#This Row],[Sales]]* (100 - sales_data[[#This Row],[Discount]]))/100</f>
        <v>32464.9975871639</v>
      </c>
    </row>
    <row r="98" spans="1:15" x14ac:dyDescent="0.5">
      <c r="A98" s="1" t="s">
        <v>989</v>
      </c>
      <c r="B98" s="1" t="s">
        <v>29</v>
      </c>
      <c r="C98">
        <v>27653.7541617184</v>
      </c>
      <c r="D98">
        <v>0</v>
      </c>
      <c r="E98" s="2">
        <v>44976</v>
      </c>
      <c r="F98" s="1">
        <v>160</v>
      </c>
      <c r="G98" s="1">
        <v>64</v>
      </c>
      <c r="H98" s="1" t="s">
        <v>15</v>
      </c>
      <c r="I98" s="1" t="s">
        <v>16</v>
      </c>
      <c r="J98" s="1" t="s">
        <v>24</v>
      </c>
      <c r="K98" s="1" t="s">
        <v>18</v>
      </c>
      <c r="L98" s="5" t="s">
        <v>54</v>
      </c>
      <c r="M98" s="1" t="s">
        <v>41</v>
      </c>
      <c r="N98" s="1" t="str">
        <f>YEAR(sales_data[[#This Row],[Date]]) &amp; "-" &amp; TEXT(MONTH(sales_data[[#This Row],[Date]]), "00")</f>
        <v>2023-02</v>
      </c>
      <c r="O98" s="1">
        <f xml:space="preserve"> (sales_data[[#This Row],[Sales]]* (100 - sales_data[[#This Row],[Discount]]))/100</f>
        <v>27653.7541617184</v>
      </c>
    </row>
    <row r="99" spans="1:15" x14ac:dyDescent="0.5">
      <c r="A99" s="1" t="s">
        <v>135</v>
      </c>
      <c r="B99" s="1" t="s">
        <v>40</v>
      </c>
      <c r="C99">
        <v>22882.784815278799</v>
      </c>
      <c r="D99">
        <v>10</v>
      </c>
      <c r="E99" s="2">
        <v>44978</v>
      </c>
      <c r="F99" s="1">
        <v>138</v>
      </c>
      <c r="G99" s="1">
        <v>27</v>
      </c>
      <c r="H99" s="1" t="s">
        <v>15</v>
      </c>
      <c r="I99" s="1" t="s">
        <v>23</v>
      </c>
      <c r="J99" s="1" t="s">
        <v>17</v>
      </c>
      <c r="K99" s="1" t="s">
        <v>18</v>
      </c>
      <c r="L99" s="5" t="s">
        <v>30</v>
      </c>
      <c r="M99" s="1" t="s">
        <v>41</v>
      </c>
      <c r="N99" s="1" t="str">
        <f>YEAR(sales_data[[#This Row],[Date]]) &amp; "-" &amp; TEXT(MONTH(sales_data[[#This Row],[Date]]), "00")</f>
        <v>2023-02</v>
      </c>
      <c r="O99" s="1">
        <f xml:space="preserve"> (sales_data[[#This Row],[Sales]]* (100 - sales_data[[#This Row],[Discount]]))/100</f>
        <v>20594.50633375092</v>
      </c>
    </row>
    <row r="100" spans="1:15" x14ac:dyDescent="0.5">
      <c r="A100" s="1" t="s">
        <v>350</v>
      </c>
      <c r="B100" s="1" t="s">
        <v>29</v>
      </c>
      <c r="C100">
        <v>25796.6490168212</v>
      </c>
      <c r="D100">
        <v>15</v>
      </c>
      <c r="E100" s="2">
        <v>44978</v>
      </c>
      <c r="F100" s="1">
        <v>169</v>
      </c>
      <c r="G100" s="1">
        <v>34</v>
      </c>
      <c r="H100" s="1" t="s">
        <v>15</v>
      </c>
      <c r="I100" s="1" t="s">
        <v>23</v>
      </c>
      <c r="J100" s="1" t="s">
        <v>34</v>
      </c>
      <c r="K100" s="1" t="s">
        <v>18</v>
      </c>
      <c r="L100" s="5" t="s">
        <v>36</v>
      </c>
      <c r="M100" s="1" t="s">
        <v>31</v>
      </c>
      <c r="N100" s="1" t="str">
        <f>YEAR(sales_data[[#This Row],[Date]]) &amp; "-" &amp; TEXT(MONTH(sales_data[[#This Row],[Date]]), "00")</f>
        <v>2023-02</v>
      </c>
      <c r="O100" s="1">
        <f xml:space="preserve"> (sales_data[[#This Row],[Sales]]* (100 - sales_data[[#This Row],[Discount]]))/100</f>
        <v>21927.151664298017</v>
      </c>
    </row>
    <row r="101" spans="1:15" x14ac:dyDescent="0.5">
      <c r="A101" s="1" t="s">
        <v>1000</v>
      </c>
      <c r="B101" s="1" t="s">
        <v>14</v>
      </c>
      <c r="C101">
        <v>20015.230100766999</v>
      </c>
      <c r="D101">
        <v>10</v>
      </c>
      <c r="E101" s="2">
        <v>44978</v>
      </c>
      <c r="F101" s="1">
        <v>186</v>
      </c>
      <c r="G101" s="1">
        <v>13</v>
      </c>
      <c r="H101" s="1" t="s">
        <v>15</v>
      </c>
      <c r="I101" s="1" t="s">
        <v>16</v>
      </c>
      <c r="J101" s="1" t="s">
        <v>34</v>
      </c>
      <c r="K101" s="1" t="s">
        <v>25</v>
      </c>
      <c r="L101" s="5" t="s">
        <v>85</v>
      </c>
      <c r="M101" s="1" t="s">
        <v>27</v>
      </c>
      <c r="N101" s="1" t="str">
        <f>YEAR(sales_data[[#This Row],[Date]]) &amp; "-" &amp; TEXT(MONTH(sales_data[[#This Row],[Date]]), "00")</f>
        <v>2023-02</v>
      </c>
      <c r="O101" s="1">
        <f xml:space="preserve"> (sales_data[[#This Row],[Sales]]* (100 - sales_data[[#This Row],[Discount]]))/100</f>
        <v>18013.707090690299</v>
      </c>
    </row>
    <row r="102" spans="1:15" x14ac:dyDescent="0.5">
      <c r="A102" s="1" t="s">
        <v>418</v>
      </c>
      <c r="B102" s="1" t="s">
        <v>40</v>
      </c>
      <c r="C102">
        <v>23501.549397044899</v>
      </c>
      <c r="D102">
        <v>10</v>
      </c>
      <c r="E102" s="2">
        <v>44981</v>
      </c>
      <c r="F102" s="1">
        <v>107</v>
      </c>
      <c r="G102" s="1">
        <v>92</v>
      </c>
      <c r="H102" s="1" t="s">
        <v>15</v>
      </c>
      <c r="I102" s="1" t="s">
        <v>23</v>
      </c>
      <c r="J102" s="1" t="s">
        <v>24</v>
      </c>
      <c r="K102" s="1" t="s">
        <v>25</v>
      </c>
      <c r="L102" s="5" t="s">
        <v>30</v>
      </c>
      <c r="M102" s="1" t="s">
        <v>20</v>
      </c>
      <c r="N102" s="1" t="str">
        <f>YEAR(sales_data[[#This Row],[Date]]) &amp; "-" &amp; TEXT(MONTH(sales_data[[#This Row],[Date]]), "00")</f>
        <v>2023-02</v>
      </c>
      <c r="O102" s="1">
        <f xml:space="preserve"> (sales_data[[#This Row],[Sales]]* (100 - sales_data[[#This Row],[Discount]]))/100</f>
        <v>21151.394457340408</v>
      </c>
    </row>
    <row r="103" spans="1:15" x14ac:dyDescent="0.5">
      <c r="A103" s="1" t="s">
        <v>728</v>
      </c>
      <c r="B103" s="1" t="s">
        <v>22</v>
      </c>
      <c r="C103">
        <v>21732.519408653501</v>
      </c>
      <c r="D103">
        <v>0</v>
      </c>
      <c r="E103" s="2">
        <v>44981</v>
      </c>
      <c r="F103" s="1">
        <v>107</v>
      </c>
      <c r="G103" s="1">
        <v>28</v>
      </c>
      <c r="H103" s="1" t="s">
        <v>15</v>
      </c>
      <c r="I103" s="1" t="s">
        <v>33</v>
      </c>
      <c r="J103" s="1" t="s">
        <v>17</v>
      </c>
      <c r="K103" s="1" t="s">
        <v>35</v>
      </c>
      <c r="L103" s="5" t="s">
        <v>38</v>
      </c>
      <c r="M103" s="1" t="s">
        <v>41</v>
      </c>
      <c r="N103" s="1" t="str">
        <f>YEAR(sales_data[[#This Row],[Date]]) &amp; "-" &amp; TEXT(MONTH(sales_data[[#This Row],[Date]]), "00")</f>
        <v>2023-02</v>
      </c>
      <c r="O103" s="1">
        <f xml:space="preserve"> (sales_data[[#This Row],[Sales]]* (100 - sales_data[[#This Row],[Discount]]))/100</f>
        <v>21732.519408653501</v>
      </c>
    </row>
    <row r="104" spans="1:15" x14ac:dyDescent="0.5">
      <c r="A104" s="1" t="s">
        <v>984</v>
      </c>
      <c r="B104" s="1" t="s">
        <v>50</v>
      </c>
      <c r="C104">
        <v>10122.667168230601</v>
      </c>
      <c r="D104">
        <v>0</v>
      </c>
      <c r="E104" s="2">
        <v>44981</v>
      </c>
      <c r="F104" s="1">
        <v>166</v>
      </c>
      <c r="G104" s="1">
        <v>72</v>
      </c>
      <c r="H104" s="1" t="s">
        <v>15</v>
      </c>
      <c r="I104" s="1" t="s">
        <v>23</v>
      </c>
      <c r="J104" s="1" t="s">
        <v>24</v>
      </c>
      <c r="K104" s="1" t="s">
        <v>18</v>
      </c>
      <c r="L104" s="5" t="s">
        <v>38</v>
      </c>
      <c r="M104" s="1" t="s">
        <v>41</v>
      </c>
      <c r="N104" s="1" t="str">
        <f>YEAR(sales_data[[#This Row],[Date]]) &amp; "-" &amp; TEXT(MONTH(sales_data[[#This Row],[Date]]), "00")</f>
        <v>2023-02</v>
      </c>
      <c r="O104" s="1">
        <f xml:space="preserve"> (sales_data[[#This Row],[Sales]]* (100 - sales_data[[#This Row],[Discount]]))/100</f>
        <v>10122.667168230601</v>
      </c>
    </row>
    <row r="105" spans="1:15" x14ac:dyDescent="0.5">
      <c r="A105" s="1" t="s">
        <v>125</v>
      </c>
      <c r="B105" s="1" t="s">
        <v>14</v>
      </c>
      <c r="C105">
        <v>23070.833500217101</v>
      </c>
      <c r="D105">
        <v>10</v>
      </c>
      <c r="E105" s="2">
        <v>44982</v>
      </c>
      <c r="F105" s="1">
        <v>135</v>
      </c>
      <c r="G105" s="1">
        <v>59</v>
      </c>
      <c r="H105" s="1" t="s">
        <v>15</v>
      </c>
      <c r="I105" s="1" t="s">
        <v>33</v>
      </c>
      <c r="J105" s="1" t="s">
        <v>24</v>
      </c>
      <c r="K105" s="1" t="s">
        <v>18</v>
      </c>
      <c r="L105" s="5" t="s">
        <v>46</v>
      </c>
      <c r="M105" s="1" t="s">
        <v>27</v>
      </c>
      <c r="N105" s="1" t="str">
        <f>YEAR(sales_data[[#This Row],[Date]]) &amp; "-" &amp; TEXT(MONTH(sales_data[[#This Row],[Date]]), "00")</f>
        <v>2023-02</v>
      </c>
      <c r="O105" s="1">
        <f xml:space="preserve"> (sales_data[[#This Row],[Sales]]* (100 - sales_data[[#This Row],[Discount]]))/100</f>
        <v>20763.750150195392</v>
      </c>
    </row>
    <row r="106" spans="1:15" x14ac:dyDescent="0.5">
      <c r="A106" s="1" t="s">
        <v>946</v>
      </c>
      <c r="B106" s="1" t="s">
        <v>22</v>
      </c>
      <c r="C106">
        <v>22539.956634562699</v>
      </c>
      <c r="D106">
        <v>0</v>
      </c>
      <c r="E106" s="2">
        <v>44983</v>
      </c>
      <c r="F106" s="1">
        <v>197</v>
      </c>
      <c r="G106" s="1">
        <v>35</v>
      </c>
      <c r="H106" s="1" t="s">
        <v>38</v>
      </c>
      <c r="I106" s="1" t="s">
        <v>23</v>
      </c>
      <c r="J106" s="1" t="s">
        <v>24</v>
      </c>
      <c r="K106" s="1" t="s">
        <v>35</v>
      </c>
      <c r="L106" s="5" t="s">
        <v>36</v>
      </c>
      <c r="M106" s="1" t="s">
        <v>44</v>
      </c>
      <c r="N106" s="1" t="str">
        <f>YEAR(sales_data[[#This Row],[Date]]) &amp; "-" &amp; TEXT(MONTH(sales_data[[#This Row],[Date]]), "00")</f>
        <v>2023-02</v>
      </c>
      <c r="O106" s="1">
        <f xml:space="preserve"> (sales_data[[#This Row],[Sales]]* (100 - sales_data[[#This Row],[Discount]]))/100</f>
        <v>22539.956634562699</v>
      </c>
    </row>
    <row r="107" spans="1:15" x14ac:dyDescent="0.5">
      <c r="A107" s="1" t="s">
        <v>233</v>
      </c>
      <c r="B107" s="1" t="s">
        <v>14</v>
      </c>
      <c r="C107">
        <v>24147.027905917399</v>
      </c>
      <c r="D107">
        <v>5</v>
      </c>
      <c r="E107" s="2">
        <v>44984</v>
      </c>
      <c r="F107" s="1">
        <v>137</v>
      </c>
      <c r="G107" s="1">
        <v>49</v>
      </c>
      <c r="H107" s="1" t="s">
        <v>15</v>
      </c>
      <c r="I107" s="1" t="s">
        <v>23</v>
      </c>
      <c r="J107" s="1" t="s">
        <v>24</v>
      </c>
      <c r="K107" s="1" t="s">
        <v>18</v>
      </c>
      <c r="L107" s="5" t="s">
        <v>36</v>
      </c>
      <c r="M107" s="1" t="s">
        <v>55</v>
      </c>
      <c r="N107" s="1" t="str">
        <f>YEAR(sales_data[[#This Row],[Date]]) &amp; "-" &amp; TEXT(MONTH(sales_data[[#This Row],[Date]]), "00")</f>
        <v>2023-02</v>
      </c>
      <c r="O107" s="1">
        <f xml:space="preserve"> (sales_data[[#This Row],[Sales]]* (100 - sales_data[[#This Row],[Discount]]))/100</f>
        <v>22939.676510621528</v>
      </c>
    </row>
    <row r="108" spans="1:15" x14ac:dyDescent="0.5">
      <c r="A108" s="1" t="s">
        <v>371</v>
      </c>
      <c r="B108" s="1" t="s">
        <v>14</v>
      </c>
      <c r="C108">
        <v>17275.404565955199</v>
      </c>
      <c r="D108">
        <v>15</v>
      </c>
      <c r="E108" s="2">
        <v>44984</v>
      </c>
      <c r="F108" s="1">
        <v>103</v>
      </c>
      <c r="G108" s="1">
        <v>77</v>
      </c>
      <c r="H108" s="1" t="s">
        <v>15</v>
      </c>
      <c r="I108" s="1" t="s">
        <v>16</v>
      </c>
      <c r="J108" s="1" t="s">
        <v>34</v>
      </c>
      <c r="K108" s="1" t="s">
        <v>18</v>
      </c>
      <c r="L108" s="5" t="s">
        <v>26</v>
      </c>
      <c r="M108" s="1" t="s">
        <v>41</v>
      </c>
      <c r="N108" s="1" t="str">
        <f>YEAR(sales_data[[#This Row],[Date]]) &amp; "-" &amp; TEXT(MONTH(sales_data[[#This Row],[Date]]), "00")</f>
        <v>2023-02</v>
      </c>
      <c r="O108" s="1">
        <f xml:space="preserve"> (sales_data[[#This Row],[Sales]]* (100 - sales_data[[#This Row],[Discount]]))/100</f>
        <v>14684.093881061919</v>
      </c>
    </row>
    <row r="109" spans="1:15" x14ac:dyDescent="0.5">
      <c r="A109" s="1" t="s">
        <v>654</v>
      </c>
      <c r="B109" s="1" t="s">
        <v>22</v>
      </c>
      <c r="C109">
        <v>0</v>
      </c>
      <c r="D109">
        <v>5</v>
      </c>
      <c r="E109" s="2">
        <v>44984</v>
      </c>
      <c r="F109" s="1">
        <v>120</v>
      </c>
      <c r="G109" s="1">
        <v>58</v>
      </c>
      <c r="H109" s="1" t="s">
        <v>15</v>
      </c>
      <c r="I109" s="1" t="s">
        <v>23</v>
      </c>
      <c r="J109" s="1" t="s">
        <v>17</v>
      </c>
      <c r="K109" s="1" t="s">
        <v>35</v>
      </c>
      <c r="L109" s="5" t="s">
        <v>46</v>
      </c>
      <c r="M109" s="1" t="s">
        <v>41</v>
      </c>
      <c r="N109" s="1" t="str">
        <f>YEAR(sales_data[[#This Row],[Date]]) &amp; "-" &amp; TEXT(MONTH(sales_data[[#This Row],[Date]]), "00")</f>
        <v>2023-02</v>
      </c>
      <c r="O109" s="1">
        <f xml:space="preserve"> (sales_data[[#This Row],[Sales]]* (100 - sales_data[[#This Row],[Discount]]))/100</f>
        <v>0</v>
      </c>
    </row>
    <row r="110" spans="1:15" x14ac:dyDescent="0.5">
      <c r="A110" s="1" t="s">
        <v>434</v>
      </c>
      <c r="B110" s="1" t="s">
        <v>29</v>
      </c>
      <c r="C110">
        <v>12148.876400547701</v>
      </c>
      <c r="D110">
        <v>0</v>
      </c>
      <c r="E110" s="2">
        <v>44985</v>
      </c>
      <c r="F110" s="1">
        <v>159</v>
      </c>
      <c r="G110" s="1">
        <v>67</v>
      </c>
      <c r="H110" s="1" t="s">
        <v>38</v>
      </c>
      <c r="I110" s="1" t="s">
        <v>23</v>
      </c>
      <c r="J110" s="1" t="s">
        <v>17</v>
      </c>
      <c r="K110" s="1" t="s">
        <v>35</v>
      </c>
      <c r="L110" s="5" t="s">
        <v>30</v>
      </c>
      <c r="M110" s="1" t="s">
        <v>48</v>
      </c>
      <c r="N110" s="1" t="str">
        <f>YEAR(sales_data[[#This Row],[Date]]) &amp; "-" &amp; TEXT(MONTH(sales_data[[#This Row],[Date]]), "00")</f>
        <v>2023-02</v>
      </c>
      <c r="O110" s="1">
        <f xml:space="preserve"> (sales_data[[#This Row],[Sales]]* (100 - sales_data[[#This Row],[Discount]]))/100</f>
        <v>12148.876400547701</v>
      </c>
    </row>
    <row r="111" spans="1:15" x14ac:dyDescent="0.5">
      <c r="A111" s="1" t="s">
        <v>438</v>
      </c>
      <c r="B111" s="1" t="s">
        <v>22</v>
      </c>
      <c r="C111">
        <v>23103.3604877533</v>
      </c>
      <c r="D111">
        <v>0</v>
      </c>
      <c r="E111" s="2">
        <v>44986</v>
      </c>
      <c r="F111" s="1">
        <v>134</v>
      </c>
      <c r="G111" s="1">
        <v>35</v>
      </c>
      <c r="H111" s="1" t="s">
        <v>15</v>
      </c>
      <c r="I111" s="1" t="s">
        <v>33</v>
      </c>
      <c r="J111" s="1" t="s">
        <v>24</v>
      </c>
      <c r="K111" s="1" t="s">
        <v>25</v>
      </c>
      <c r="L111" s="5" t="s">
        <v>36</v>
      </c>
      <c r="M111" s="1" t="s">
        <v>27</v>
      </c>
      <c r="N111" s="1" t="str">
        <f>YEAR(sales_data[[#This Row],[Date]]) &amp; "-" &amp; TEXT(MONTH(sales_data[[#This Row],[Date]]), "00")</f>
        <v>2023-03</v>
      </c>
      <c r="O111" s="1">
        <f xml:space="preserve"> (sales_data[[#This Row],[Sales]]* (100 - sales_data[[#This Row],[Discount]]))/100</f>
        <v>23103.360487753303</v>
      </c>
    </row>
    <row r="112" spans="1:15" x14ac:dyDescent="0.5">
      <c r="A112" s="1" t="s">
        <v>67</v>
      </c>
      <c r="B112" s="1" t="s">
        <v>22</v>
      </c>
      <c r="C112">
        <v>22572.1941702937</v>
      </c>
      <c r="D112">
        <v>15</v>
      </c>
      <c r="E112" s="2">
        <v>44987</v>
      </c>
      <c r="F112" s="1">
        <v>148</v>
      </c>
      <c r="G112" s="1">
        <v>52</v>
      </c>
      <c r="H112" s="1" t="s">
        <v>38</v>
      </c>
      <c r="I112" s="1" t="s">
        <v>16</v>
      </c>
      <c r="J112" s="1" t="s">
        <v>24</v>
      </c>
      <c r="K112" s="1" t="s">
        <v>35</v>
      </c>
      <c r="L112" s="5" t="s">
        <v>58</v>
      </c>
      <c r="M112" s="1" t="s">
        <v>55</v>
      </c>
      <c r="N112" s="1" t="str">
        <f>YEAR(sales_data[[#This Row],[Date]]) &amp; "-" &amp; TEXT(MONTH(sales_data[[#This Row],[Date]]), "00")</f>
        <v>2023-03</v>
      </c>
      <c r="O112" s="1">
        <f xml:space="preserve"> (sales_data[[#This Row],[Sales]]* (100 - sales_data[[#This Row],[Discount]]))/100</f>
        <v>19186.365044749644</v>
      </c>
    </row>
    <row r="113" spans="1:15" x14ac:dyDescent="0.5">
      <c r="A113" s="1" t="s">
        <v>583</v>
      </c>
      <c r="B113" s="1" t="s">
        <v>29</v>
      </c>
      <c r="C113">
        <v>25975.233144624199</v>
      </c>
      <c r="D113">
        <v>10</v>
      </c>
      <c r="E113" s="2">
        <v>44990</v>
      </c>
      <c r="F113" s="1">
        <v>159</v>
      </c>
      <c r="G113" s="1">
        <v>71</v>
      </c>
      <c r="H113" s="1" t="s">
        <v>15</v>
      </c>
      <c r="I113" s="1" t="s">
        <v>33</v>
      </c>
      <c r="J113" s="1" t="s">
        <v>24</v>
      </c>
      <c r="K113" s="1" t="s">
        <v>25</v>
      </c>
      <c r="L113" s="5" t="s">
        <v>26</v>
      </c>
      <c r="M113" s="1" t="s">
        <v>55</v>
      </c>
      <c r="N113" s="1" t="str">
        <f>YEAR(sales_data[[#This Row],[Date]]) &amp; "-" &amp; TEXT(MONTH(sales_data[[#This Row],[Date]]), "00")</f>
        <v>2023-03</v>
      </c>
      <c r="O113" s="1">
        <f xml:space="preserve"> (sales_data[[#This Row],[Sales]]* (100 - sales_data[[#This Row],[Discount]]))/100</f>
        <v>23377.709830161781</v>
      </c>
    </row>
    <row r="114" spans="1:15" x14ac:dyDescent="0.5">
      <c r="A114" s="1" t="s">
        <v>74</v>
      </c>
      <c r="B114" s="1" t="s">
        <v>29</v>
      </c>
      <c r="C114">
        <v>27755.7598776126</v>
      </c>
      <c r="D114">
        <v>5</v>
      </c>
      <c r="E114" s="2">
        <v>44992</v>
      </c>
      <c r="F114" s="1">
        <v>148</v>
      </c>
      <c r="G114" s="1">
        <v>36</v>
      </c>
      <c r="H114" s="1" t="s">
        <v>15</v>
      </c>
      <c r="I114" s="1" t="s">
        <v>33</v>
      </c>
      <c r="J114" s="1" t="s">
        <v>24</v>
      </c>
      <c r="K114" s="1" t="s">
        <v>25</v>
      </c>
      <c r="L114" s="5" t="s">
        <v>43</v>
      </c>
      <c r="M114" s="1" t="s">
        <v>31</v>
      </c>
      <c r="N114" s="1" t="str">
        <f>YEAR(sales_data[[#This Row],[Date]]) &amp; "-" &amp; TEXT(MONTH(sales_data[[#This Row],[Date]]), "00")</f>
        <v>2023-03</v>
      </c>
      <c r="O114" s="1">
        <f xml:space="preserve"> (sales_data[[#This Row],[Sales]]* (100 - sales_data[[#This Row],[Discount]]))/100</f>
        <v>26367.971883731967</v>
      </c>
    </row>
    <row r="115" spans="1:15" x14ac:dyDescent="0.5">
      <c r="A115" s="1" t="s">
        <v>868</v>
      </c>
      <c r="B115" s="1" t="s">
        <v>14</v>
      </c>
      <c r="C115">
        <v>28747.8837159346</v>
      </c>
      <c r="D115">
        <v>5</v>
      </c>
      <c r="E115" s="2">
        <v>44992</v>
      </c>
      <c r="F115" s="1">
        <v>199</v>
      </c>
      <c r="G115" s="1">
        <v>44</v>
      </c>
      <c r="H115" s="1" t="s">
        <v>15</v>
      </c>
      <c r="I115" s="1" t="s">
        <v>16</v>
      </c>
      <c r="J115" s="1" t="s">
        <v>17</v>
      </c>
      <c r="K115" s="1" t="s">
        <v>18</v>
      </c>
      <c r="L115" s="5" t="s">
        <v>19</v>
      </c>
      <c r="M115" s="1" t="s">
        <v>20</v>
      </c>
      <c r="N115" s="1" t="str">
        <f>YEAR(sales_data[[#This Row],[Date]]) &amp; "-" &amp; TEXT(MONTH(sales_data[[#This Row],[Date]]), "00")</f>
        <v>2023-03</v>
      </c>
      <c r="O115" s="1">
        <f xml:space="preserve"> (sales_data[[#This Row],[Sales]]* (100 - sales_data[[#This Row],[Discount]]))/100</f>
        <v>27310.489530137871</v>
      </c>
    </row>
    <row r="116" spans="1:15" x14ac:dyDescent="0.5">
      <c r="A116" s="1" t="s">
        <v>971</v>
      </c>
      <c r="B116" s="1" t="s">
        <v>29</v>
      </c>
      <c r="C116">
        <v>26951.037745086502</v>
      </c>
      <c r="D116">
        <v>5</v>
      </c>
      <c r="E116" s="2">
        <v>44992</v>
      </c>
      <c r="F116" s="1">
        <v>114</v>
      </c>
      <c r="G116" s="1">
        <v>58</v>
      </c>
      <c r="H116" s="1" t="s">
        <v>15</v>
      </c>
      <c r="I116" s="1" t="s">
        <v>23</v>
      </c>
      <c r="J116" s="1" t="s">
        <v>24</v>
      </c>
      <c r="K116" s="1" t="s">
        <v>25</v>
      </c>
      <c r="L116" s="5" t="s">
        <v>54</v>
      </c>
      <c r="M116" s="1" t="s">
        <v>20</v>
      </c>
      <c r="N116" s="1" t="str">
        <f>YEAR(sales_data[[#This Row],[Date]]) &amp; "-" &amp; TEXT(MONTH(sales_data[[#This Row],[Date]]), "00")</f>
        <v>2023-03</v>
      </c>
      <c r="O116" s="1">
        <f xml:space="preserve"> (sales_data[[#This Row],[Sales]]* (100 - sales_data[[#This Row],[Discount]]))/100</f>
        <v>25603.485857832176</v>
      </c>
    </row>
    <row r="117" spans="1:15" x14ac:dyDescent="0.5">
      <c r="A117" s="1" t="s">
        <v>1034</v>
      </c>
      <c r="B117" s="1" t="s">
        <v>22</v>
      </c>
      <c r="C117">
        <v>18953.381614240599</v>
      </c>
      <c r="D117">
        <v>10</v>
      </c>
      <c r="E117" s="2">
        <v>44992</v>
      </c>
      <c r="F117" s="1">
        <v>149</v>
      </c>
      <c r="G117" s="1">
        <v>57</v>
      </c>
      <c r="H117" s="1" t="s">
        <v>15</v>
      </c>
      <c r="I117" s="1" t="s">
        <v>16</v>
      </c>
      <c r="J117" s="1" t="s">
        <v>17</v>
      </c>
      <c r="K117" s="1" t="s">
        <v>18</v>
      </c>
      <c r="L117" s="5" t="s">
        <v>43</v>
      </c>
      <c r="M117" s="1" t="s">
        <v>27</v>
      </c>
      <c r="N117" s="1" t="str">
        <f>YEAR(sales_data[[#This Row],[Date]]) &amp; "-" &amp; TEXT(MONTH(sales_data[[#This Row],[Date]]), "00")</f>
        <v>2023-03</v>
      </c>
      <c r="O117" s="1">
        <f xml:space="preserve"> (sales_data[[#This Row],[Sales]]* (100 - sales_data[[#This Row],[Discount]]))/100</f>
        <v>17058.043452816539</v>
      </c>
    </row>
    <row r="118" spans="1:15" x14ac:dyDescent="0.5">
      <c r="A118" s="1" t="s">
        <v>885</v>
      </c>
      <c r="B118" s="1" t="s">
        <v>14</v>
      </c>
      <c r="C118">
        <v>20219.057359895502</v>
      </c>
      <c r="D118">
        <v>15</v>
      </c>
      <c r="E118" s="2">
        <v>44993</v>
      </c>
      <c r="F118" s="1">
        <v>191</v>
      </c>
      <c r="G118" s="1">
        <v>22</v>
      </c>
      <c r="H118" s="1" t="s">
        <v>15</v>
      </c>
      <c r="I118" s="1" t="s">
        <v>33</v>
      </c>
      <c r="J118" s="1" t="s">
        <v>24</v>
      </c>
      <c r="K118" s="1" t="s">
        <v>18</v>
      </c>
      <c r="L118" s="5" t="s">
        <v>58</v>
      </c>
      <c r="M118" s="1" t="s">
        <v>20</v>
      </c>
      <c r="N118" s="1" t="str">
        <f>YEAR(sales_data[[#This Row],[Date]]) &amp; "-" &amp; TEXT(MONTH(sales_data[[#This Row],[Date]]), "00")</f>
        <v>2023-03</v>
      </c>
      <c r="O118" s="1">
        <f xml:space="preserve"> (sales_data[[#This Row],[Sales]]* (100 - sales_data[[#This Row],[Discount]]))/100</f>
        <v>17186.198755911177</v>
      </c>
    </row>
    <row r="119" spans="1:15" x14ac:dyDescent="0.5">
      <c r="A119" s="1" t="s">
        <v>66</v>
      </c>
      <c r="B119" s="1" t="s">
        <v>50</v>
      </c>
      <c r="C119">
        <v>20601.478158559399</v>
      </c>
      <c r="D119">
        <v>5</v>
      </c>
      <c r="E119" s="2">
        <v>44994</v>
      </c>
      <c r="F119" s="1">
        <v>184</v>
      </c>
      <c r="G119" s="1">
        <v>48</v>
      </c>
      <c r="H119" s="1" t="s">
        <v>15</v>
      </c>
      <c r="I119" s="1" t="s">
        <v>16</v>
      </c>
      <c r="J119" s="1" t="s">
        <v>17</v>
      </c>
      <c r="K119" s="1" t="s">
        <v>35</v>
      </c>
      <c r="L119" s="5" t="s">
        <v>30</v>
      </c>
      <c r="M119" s="1" t="s">
        <v>48</v>
      </c>
      <c r="N119" s="1" t="str">
        <f>YEAR(sales_data[[#This Row],[Date]]) &amp; "-" &amp; TEXT(MONTH(sales_data[[#This Row],[Date]]), "00")</f>
        <v>2023-03</v>
      </c>
      <c r="O119" s="1">
        <f xml:space="preserve"> (sales_data[[#This Row],[Sales]]* (100 - sales_data[[#This Row],[Discount]]))/100</f>
        <v>19571.404250631429</v>
      </c>
    </row>
    <row r="120" spans="1:15" x14ac:dyDescent="0.5">
      <c r="A120" s="1" t="s">
        <v>275</v>
      </c>
      <c r="B120" s="1" t="s">
        <v>50</v>
      </c>
      <c r="C120">
        <v>20546.9739730244</v>
      </c>
      <c r="D120">
        <v>10</v>
      </c>
      <c r="E120" s="2">
        <v>44994</v>
      </c>
      <c r="F120" s="1">
        <v>158</v>
      </c>
      <c r="G120" s="1">
        <v>70</v>
      </c>
      <c r="H120" s="1" t="s">
        <v>15</v>
      </c>
      <c r="I120" s="1" t="s">
        <v>23</v>
      </c>
      <c r="J120" s="1" t="s">
        <v>17</v>
      </c>
      <c r="K120" s="1" t="s">
        <v>25</v>
      </c>
      <c r="L120" s="5" t="s">
        <v>38</v>
      </c>
      <c r="M120" s="1" t="s">
        <v>44</v>
      </c>
      <c r="N120" s="1" t="str">
        <f>YEAR(sales_data[[#This Row],[Date]]) &amp; "-" &amp; TEXT(MONTH(sales_data[[#This Row],[Date]]), "00")</f>
        <v>2023-03</v>
      </c>
      <c r="O120" s="1">
        <f xml:space="preserve"> (sales_data[[#This Row],[Sales]]* (100 - sales_data[[#This Row],[Discount]]))/100</f>
        <v>18492.27657572196</v>
      </c>
    </row>
    <row r="121" spans="1:15" x14ac:dyDescent="0.5">
      <c r="A121" s="1" t="s">
        <v>857</v>
      </c>
      <c r="B121" s="1" t="s">
        <v>29</v>
      </c>
      <c r="C121">
        <v>21119.570670323301</v>
      </c>
      <c r="D121">
        <v>15</v>
      </c>
      <c r="E121" s="2">
        <v>44994</v>
      </c>
      <c r="F121" s="1">
        <v>197</v>
      </c>
      <c r="G121" s="1">
        <v>32</v>
      </c>
      <c r="H121" s="1" t="s">
        <v>15</v>
      </c>
      <c r="I121" s="1" t="s">
        <v>23</v>
      </c>
      <c r="J121" s="1" t="s">
        <v>17</v>
      </c>
      <c r="K121" s="1" t="s">
        <v>18</v>
      </c>
      <c r="L121" s="5" t="s">
        <v>85</v>
      </c>
      <c r="M121" s="1" t="s">
        <v>48</v>
      </c>
      <c r="N121" s="1" t="str">
        <f>YEAR(sales_data[[#This Row],[Date]]) &amp; "-" &amp; TEXT(MONTH(sales_data[[#This Row],[Date]]), "00")</f>
        <v>2023-03</v>
      </c>
      <c r="O121" s="1">
        <f xml:space="preserve"> (sales_data[[#This Row],[Sales]]* (100 - sales_data[[#This Row],[Discount]]))/100</f>
        <v>17951.635069774806</v>
      </c>
    </row>
    <row r="122" spans="1:15" x14ac:dyDescent="0.5">
      <c r="A122" s="1" t="s">
        <v>939</v>
      </c>
      <c r="B122" s="1" t="s">
        <v>22</v>
      </c>
      <c r="C122">
        <v>20667.704523911401</v>
      </c>
      <c r="D122">
        <v>0</v>
      </c>
      <c r="E122" s="2">
        <v>44994</v>
      </c>
      <c r="F122" s="1">
        <v>158</v>
      </c>
      <c r="G122" s="1">
        <v>56</v>
      </c>
      <c r="H122" s="1" t="s">
        <v>15</v>
      </c>
      <c r="I122" s="1" t="s">
        <v>33</v>
      </c>
      <c r="J122" s="1" t="s">
        <v>24</v>
      </c>
      <c r="K122" s="1" t="s">
        <v>25</v>
      </c>
      <c r="L122" s="5" t="s">
        <v>46</v>
      </c>
      <c r="M122" s="1" t="s">
        <v>20</v>
      </c>
      <c r="N122" s="1" t="str">
        <f>YEAR(sales_data[[#This Row],[Date]]) &amp; "-" &amp; TEXT(MONTH(sales_data[[#This Row],[Date]]), "00")</f>
        <v>2023-03</v>
      </c>
      <c r="O122" s="1">
        <f xml:space="preserve"> (sales_data[[#This Row],[Sales]]* (100 - sales_data[[#This Row],[Discount]]))/100</f>
        <v>20667.704523911401</v>
      </c>
    </row>
    <row r="123" spans="1:15" x14ac:dyDescent="0.5">
      <c r="A123" s="1" t="s">
        <v>1044</v>
      </c>
      <c r="B123" s="1" t="s">
        <v>14</v>
      </c>
      <c r="C123">
        <v>21496.462902032399</v>
      </c>
      <c r="D123">
        <v>10</v>
      </c>
      <c r="E123" s="2">
        <v>44994</v>
      </c>
      <c r="F123" s="1">
        <v>138</v>
      </c>
      <c r="G123" s="1">
        <v>18</v>
      </c>
      <c r="H123" s="1" t="s">
        <v>15</v>
      </c>
      <c r="I123" s="1" t="s">
        <v>33</v>
      </c>
      <c r="J123" s="1" t="s">
        <v>24</v>
      </c>
      <c r="K123" s="1" t="s">
        <v>18</v>
      </c>
      <c r="L123" s="5" t="s">
        <v>19</v>
      </c>
      <c r="M123" s="1" t="s">
        <v>48</v>
      </c>
      <c r="N123" s="1" t="str">
        <f>YEAR(sales_data[[#This Row],[Date]]) &amp; "-" &amp; TEXT(MONTH(sales_data[[#This Row],[Date]]), "00")</f>
        <v>2023-03</v>
      </c>
      <c r="O123" s="1">
        <f xml:space="preserve"> (sales_data[[#This Row],[Sales]]* (100 - sales_data[[#This Row],[Discount]]))/100</f>
        <v>19346.816611829159</v>
      </c>
    </row>
    <row r="124" spans="1:15" x14ac:dyDescent="0.5">
      <c r="A124" s="1" t="s">
        <v>501</v>
      </c>
      <c r="B124" s="1" t="s">
        <v>50</v>
      </c>
      <c r="C124">
        <v>14386.389892188499</v>
      </c>
      <c r="D124">
        <v>0</v>
      </c>
      <c r="E124" s="2">
        <v>44995</v>
      </c>
      <c r="F124" s="1">
        <v>122</v>
      </c>
      <c r="G124" s="1">
        <v>22</v>
      </c>
      <c r="H124" s="1" t="s">
        <v>15</v>
      </c>
      <c r="I124" s="1" t="s">
        <v>16</v>
      </c>
      <c r="J124" s="1" t="s">
        <v>24</v>
      </c>
      <c r="K124" s="1" t="s">
        <v>25</v>
      </c>
      <c r="L124" s="5" t="s">
        <v>36</v>
      </c>
      <c r="M124" s="1" t="s">
        <v>55</v>
      </c>
      <c r="N124" s="1" t="str">
        <f>YEAR(sales_data[[#This Row],[Date]]) &amp; "-" &amp; TEXT(MONTH(sales_data[[#This Row],[Date]]), "00")</f>
        <v>2023-03</v>
      </c>
      <c r="O124" s="1">
        <f xml:space="preserve"> (sales_data[[#This Row],[Sales]]* (100 - sales_data[[#This Row],[Discount]]))/100</f>
        <v>14386.389892188499</v>
      </c>
    </row>
    <row r="125" spans="1:15" x14ac:dyDescent="0.5">
      <c r="A125" s="1" t="s">
        <v>880</v>
      </c>
      <c r="B125" s="1" t="s">
        <v>22</v>
      </c>
      <c r="C125">
        <v>21549.1035511351</v>
      </c>
      <c r="D125">
        <v>0</v>
      </c>
      <c r="E125" s="2">
        <v>44995</v>
      </c>
      <c r="F125" s="1">
        <v>143</v>
      </c>
      <c r="G125" s="1">
        <v>71</v>
      </c>
      <c r="H125" s="1" t="s">
        <v>15</v>
      </c>
      <c r="I125" s="1" t="s">
        <v>33</v>
      </c>
      <c r="J125" s="1" t="s">
        <v>24</v>
      </c>
      <c r="K125" s="1" t="s">
        <v>35</v>
      </c>
      <c r="L125" s="5" t="s">
        <v>46</v>
      </c>
      <c r="M125" s="1" t="s">
        <v>55</v>
      </c>
      <c r="N125" s="1" t="str">
        <f>YEAR(sales_data[[#This Row],[Date]]) &amp; "-" &amp; TEXT(MONTH(sales_data[[#This Row],[Date]]), "00")</f>
        <v>2023-03</v>
      </c>
      <c r="O125" s="1">
        <f xml:space="preserve"> (sales_data[[#This Row],[Sales]]* (100 - sales_data[[#This Row],[Discount]]))/100</f>
        <v>21549.1035511351</v>
      </c>
    </row>
    <row r="126" spans="1:15" x14ac:dyDescent="0.5">
      <c r="A126" s="1" t="s">
        <v>83</v>
      </c>
      <c r="B126" s="1" t="s">
        <v>14</v>
      </c>
      <c r="C126">
        <v>26843.157787661701</v>
      </c>
      <c r="D126">
        <v>15</v>
      </c>
      <c r="E126" s="2">
        <v>44996</v>
      </c>
      <c r="F126" s="1">
        <v>140</v>
      </c>
      <c r="G126" s="1">
        <v>23</v>
      </c>
      <c r="H126" s="1" t="s">
        <v>15</v>
      </c>
      <c r="I126" s="1" t="s">
        <v>33</v>
      </c>
      <c r="J126" s="1" t="s">
        <v>17</v>
      </c>
      <c r="K126" s="1" t="s">
        <v>18</v>
      </c>
      <c r="L126" s="5" t="s">
        <v>38</v>
      </c>
      <c r="M126" s="1" t="s">
        <v>44</v>
      </c>
      <c r="N126" s="1" t="str">
        <f>YEAR(sales_data[[#This Row],[Date]]) &amp; "-" &amp; TEXT(MONTH(sales_data[[#This Row],[Date]]), "00")</f>
        <v>2023-03</v>
      </c>
      <c r="O126" s="1">
        <f xml:space="preserve"> (sales_data[[#This Row],[Sales]]* (100 - sales_data[[#This Row],[Discount]]))/100</f>
        <v>22816.684119512447</v>
      </c>
    </row>
    <row r="127" spans="1:15" x14ac:dyDescent="0.5">
      <c r="A127" s="1" t="s">
        <v>206</v>
      </c>
      <c r="B127" s="1" t="s">
        <v>29</v>
      </c>
      <c r="C127">
        <v>18984.773069784998</v>
      </c>
      <c r="D127">
        <v>5</v>
      </c>
      <c r="E127" s="2">
        <v>44997</v>
      </c>
      <c r="F127" s="1">
        <v>132</v>
      </c>
      <c r="G127" s="1">
        <v>20</v>
      </c>
      <c r="H127" s="1" t="s">
        <v>15</v>
      </c>
      <c r="I127" s="1" t="s">
        <v>33</v>
      </c>
      <c r="J127" s="1" t="s">
        <v>17</v>
      </c>
      <c r="K127" s="1" t="s">
        <v>25</v>
      </c>
      <c r="L127" s="5" t="s">
        <v>85</v>
      </c>
      <c r="M127" s="1" t="s">
        <v>48</v>
      </c>
      <c r="N127" s="1" t="str">
        <f>YEAR(sales_data[[#This Row],[Date]]) &amp; "-" &amp; TEXT(MONTH(sales_data[[#This Row],[Date]]), "00")</f>
        <v>2023-03</v>
      </c>
      <c r="O127" s="1">
        <f xml:space="preserve"> (sales_data[[#This Row],[Sales]]* (100 - sales_data[[#This Row],[Discount]]))/100</f>
        <v>18035.534416295748</v>
      </c>
    </row>
    <row r="128" spans="1:15" x14ac:dyDescent="0.5">
      <c r="A128" s="1" t="s">
        <v>91</v>
      </c>
      <c r="B128" s="1" t="s">
        <v>22</v>
      </c>
      <c r="C128">
        <v>18652.9658277772</v>
      </c>
      <c r="D128">
        <v>5</v>
      </c>
      <c r="E128" s="2">
        <v>44999</v>
      </c>
      <c r="F128" s="1">
        <v>176</v>
      </c>
      <c r="G128" s="1">
        <v>73</v>
      </c>
      <c r="H128" s="1" t="s">
        <v>15</v>
      </c>
      <c r="I128" s="1" t="s">
        <v>33</v>
      </c>
      <c r="J128" s="1" t="s">
        <v>24</v>
      </c>
      <c r="K128" s="1" t="s">
        <v>25</v>
      </c>
      <c r="L128" s="5" t="s">
        <v>85</v>
      </c>
      <c r="M128" s="1" t="s">
        <v>55</v>
      </c>
      <c r="N128" s="1" t="str">
        <f>YEAR(sales_data[[#This Row],[Date]]) &amp; "-" &amp; TEXT(MONTH(sales_data[[#This Row],[Date]]), "00")</f>
        <v>2023-03</v>
      </c>
      <c r="O128" s="1">
        <f xml:space="preserve"> (sales_data[[#This Row],[Sales]]* (100 - sales_data[[#This Row],[Discount]]))/100</f>
        <v>17720.317536388338</v>
      </c>
    </row>
    <row r="129" spans="1:15" x14ac:dyDescent="0.5">
      <c r="A129" s="1" t="s">
        <v>463</v>
      </c>
      <c r="B129" s="1" t="s">
        <v>22</v>
      </c>
      <c r="C129">
        <v>17827.518862838398</v>
      </c>
      <c r="D129">
        <v>0</v>
      </c>
      <c r="E129" s="2">
        <v>44999</v>
      </c>
      <c r="F129" s="1">
        <v>165</v>
      </c>
      <c r="G129" s="1">
        <v>58</v>
      </c>
      <c r="H129" s="1" t="s">
        <v>38</v>
      </c>
      <c r="I129" s="1" t="s">
        <v>23</v>
      </c>
      <c r="J129" s="1" t="s">
        <v>24</v>
      </c>
      <c r="K129" s="1" t="s">
        <v>25</v>
      </c>
      <c r="L129" s="5" t="s">
        <v>54</v>
      </c>
      <c r="M129" s="1" t="s">
        <v>44</v>
      </c>
      <c r="N129" s="1" t="str">
        <f>YEAR(sales_data[[#This Row],[Date]]) &amp; "-" &amp; TEXT(MONTH(sales_data[[#This Row],[Date]]), "00")</f>
        <v>2023-03</v>
      </c>
      <c r="O129" s="1">
        <f xml:space="preserve"> (sales_data[[#This Row],[Sales]]* (100 - sales_data[[#This Row],[Discount]]))/100</f>
        <v>17827.518862838398</v>
      </c>
    </row>
    <row r="130" spans="1:15" x14ac:dyDescent="0.5">
      <c r="A130" s="1" t="s">
        <v>564</v>
      </c>
      <c r="B130" s="1" t="s">
        <v>50</v>
      </c>
      <c r="C130">
        <v>20232.1827407807</v>
      </c>
      <c r="D130">
        <v>15</v>
      </c>
      <c r="E130" s="2">
        <v>44999</v>
      </c>
      <c r="F130" s="1">
        <v>167</v>
      </c>
      <c r="G130" s="1">
        <v>43</v>
      </c>
      <c r="H130" s="1" t="s">
        <v>15</v>
      </c>
      <c r="I130" s="1" t="s">
        <v>23</v>
      </c>
      <c r="J130" s="1" t="s">
        <v>34</v>
      </c>
      <c r="K130" s="1" t="s">
        <v>35</v>
      </c>
      <c r="L130" s="5" t="s">
        <v>26</v>
      </c>
      <c r="M130" s="1" t="s">
        <v>41</v>
      </c>
      <c r="N130" s="1" t="str">
        <f>YEAR(sales_data[[#This Row],[Date]]) &amp; "-" &amp; TEXT(MONTH(sales_data[[#This Row],[Date]]), "00")</f>
        <v>2023-03</v>
      </c>
      <c r="O130" s="1">
        <f xml:space="preserve"> (sales_data[[#This Row],[Sales]]* (100 - sales_data[[#This Row],[Discount]]))/100</f>
        <v>17197.355329663595</v>
      </c>
    </row>
    <row r="131" spans="1:15" x14ac:dyDescent="0.5">
      <c r="A131" s="1" t="s">
        <v>960</v>
      </c>
      <c r="B131" s="1" t="s">
        <v>50</v>
      </c>
      <c r="C131">
        <v>24960.211747682599</v>
      </c>
      <c r="D131">
        <v>10</v>
      </c>
      <c r="E131" s="2">
        <v>45000</v>
      </c>
      <c r="F131" s="1">
        <v>170</v>
      </c>
      <c r="G131" s="1">
        <v>49</v>
      </c>
      <c r="H131" s="1" t="s">
        <v>15</v>
      </c>
      <c r="I131" s="1" t="s">
        <v>23</v>
      </c>
      <c r="J131" s="1" t="s">
        <v>34</v>
      </c>
      <c r="K131" s="1" t="s">
        <v>18</v>
      </c>
      <c r="L131" s="5" t="s">
        <v>54</v>
      </c>
      <c r="M131" s="1" t="s">
        <v>55</v>
      </c>
      <c r="N131" s="1" t="str">
        <f>YEAR(sales_data[[#This Row],[Date]]) &amp; "-" &amp; TEXT(MONTH(sales_data[[#This Row],[Date]]), "00")</f>
        <v>2023-03</v>
      </c>
      <c r="O131" s="1">
        <f xml:space="preserve"> (sales_data[[#This Row],[Sales]]* (100 - sales_data[[#This Row],[Discount]]))/100</f>
        <v>22464.190572914336</v>
      </c>
    </row>
    <row r="132" spans="1:15" x14ac:dyDescent="0.5">
      <c r="A132" s="1" t="s">
        <v>322</v>
      </c>
      <c r="B132" s="1" t="s">
        <v>50</v>
      </c>
      <c r="C132">
        <v>17282.876144331101</v>
      </c>
      <c r="D132">
        <v>5</v>
      </c>
      <c r="E132" s="2">
        <v>45001</v>
      </c>
      <c r="F132" s="1">
        <v>116</v>
      </c>
      <c r="G132" s="1">
        <v>85</v>
      </c>
      <c r="H132" s="1" t="s">
        <v>15</v>
      </c>
      <c r="I132" s="1" t="s">
        <v>33</v>
      </c>
      <c r="J132" s="1" t="s">
        <v>34</v>
      </c>
      <c r="K132" s="1" t="s">
        <v>18</v>
      </c>
      <c r="L132" s="5" t="s">
        <v>85</v>
      </c>
      <c r="M132" s="1" t="s">
        <v>44</v>
      </c>
      <c r="N132" s="1" t="str">
        <f>YEAR(sales_data[[#This Row],[Date]]) &amp; "-" &amp; TEXT(MONTH(sales_data[[#This Row],[Date]]), "00")</f>
        <v>2023-03</v>
      </c>
      <c r="O132" s="1">
        <f xml:space="preserve"> (sales_data[[#This Row],[Sales]]* (100 - sales_data[[#This Row],[Discount]]))/100</f>
        <v>16418.732337114547</v>
      </c>
    </row>
    <row r="133" spans="1:15" x14ac:dyDescent="0.5">
      <c r="A133" s="1" t="s">
        <v>629</v>
      </c>
      <c r="B133" s="1" t="s">
        <v>50</v>
      </c>
      <c r="C133">
        <v>20640.522074553901</v>
      </c>
      <c r="D133">
        <v>10</v>
      </c>
      <c r="E133" s="2">
        <v>45001</v>
      </c>
      <c r="F133" s="1">
        <v>174</v>
      </c>
      <c r="G133" s="1">
        <v>40</v>
      </c>
      <c r="H133" s="1" t="s">
        <v>15</v>
      </c>
      <c r="I133" s="1" t="s">
        <v>23</v>
      </c>
      <c r="J133" s="1" t="s">
        <v>34</v>
      </c>
      <c r="K133" s="1" t="s">
        <v>25</v>
      </c>
      <c r="L133" s="5" t="s">
        <v>36</v>
      </c>
      <c r="M133" s="1" t="s">
        <v>48</v>
      </c>
      <c r="N133" s="1" t="str">
        <f>YEAR(sales_data[[#This Row],[Date]]) &amp; "-" &amp; TEXT(MONTH(sales_data[[#This Row],[Date]]), "00")</f>
        <v>2023-03</v>
      </c>
      <c r="O133" s="1">
        <f xml:space="preserve"> (sales_data[[#This Row],[Sales]]* (100 - sales_data[[#This Row],[Discount]]))/100</f>
        <v>18576.469867098509</v>
      </c>
    </row>
    <row r="134" spans="1:15" x14ac:dyDescent="0.5">
      <c r="A134" s="1" t="s">
        <v>234</v>
      </c>
      <c r="B134" s="1" t="s">
        <v>50</v>
      </c>
      <c r="C134">
        <v>8944.3234549605695</v>
      </c>
      <c r="D134">
        <v>10</v>
      </c>
      <c r="E134" s="2">
        <v>45002</v>
      </c>
      <c r="F134" s="1">
        <v>163</v>
      </c>
      <c r="G134" s="1">
        <v>76</v>
      </c>
      <c r="H134" s="1" t="s">
        <v>15</v>
      </c>
      <c r="I134" s="1" t="s">
        <v>33</v>
      </c>
      <c r="J134" s="1" t="s">
        <v>17</v>
      </c>
      <c r="K134" s="1" t="s">
        <v>18</v>
      </c>
      <c r="L134" s="5" t="s">
        <v>19</v>
      </c>
      <c r="M134" s="1" t="s">
        <v>20</v>
      </c>
      <c r="N134" s="1" t="str">
        <f>YEAR(sales_data[[#This Row],[Date]]) &amp; "-" &amp; TEXT(MONTH(sales_data[[#This Row],[Date]]), "00")</f>
        <v>2023-03</v>
      </c>
      <c r="O134" s="1">
        <f xml:space="preserve"> (sales_data[[#This Row],[Sales]]* (100 - sales_data[[#This Row],[Discount]]))/100</f>
        <v>8049.8911094645127</v>
      </c>
    </row>
    <row r="135" spans="1:15" x14ac:dyDescent="0.5">
      <c r="A135" s="1" t="s">
        <v>840</v>
      </c>
      <c r="B135" s="1" t="s">
        <v>14</v>
      </c>
      <c r="C135">
        <v>26960.011431722902</v>
      </c>
      <c r="D135">
        <v>5</v>
      </c>
      <c r="E135" s="2">
        <v>45002</v>
      </c>
      <c r="F135" s="1">
        <v>163</v>
      </c>
      <c r="G135" s="1">
        <v>55</v>
      </c>
      <c r="H135" s="1" t="s">
        <v>15</v>
      </c>
      <c r="I135" s="1" t="s">
        <v>23</v>
      </c>
      <c r="J135" s="1" t="s">
        <v>34</v>
      </c>
      <c r="K135" s="1" t="s">
        <v>25</v>
      </c>
      <c r="L135" s="5" t="s">
        <v>85</v>
      </c>
      <c r="M135" s="1" t="s">
        <v>27</v>
      </c>
      <c r="N135" s="1" t="str">
        <f>YEAR(sales_data[[#This Row],[Date]]) &amp; "-" &amp; TEXT(MONTH(sales_data[[#This Row],[Date]]), "00")</f>
        <v>2023-03</v>
      </c>
      <c r="O135" s="1">
        <f xml:space="preserve"> (sales_data[[#This Row],[Sales]]* (100 - sales_data[[#This Row],[Discount]]))/100</f>
        <v>25612.010860136757</v>
      </c>
    </row>
    <row r="136" spans="1:15" x14ac:dyDescent="0.5">
      <c r="A136" s="1" t="s">
        <v>566</v>
      </c>
      <c r="B136" s="1" t="s">
        <v>14</v>
      </c>
      <c r="C136">
        <v>23731.267830136101</v>
      </c>
      <c r="D136">
        <v>15</v>
      </c>
      <c r="E136" s="2">
        <v>45003</v>
      </c>
      <c r="F136" s="1">
        <v>181</v>
      </c>
      <c r="G136" s="1">
        <v>3</v>
      </c>
      <c r="H136" s="1" t="s">
        <v>15</v>
      </c>
      <c r="I136" s="1" t="s">
        <v>23</v>
      </c>
      <c r="J136" s="1" t="s">
        <v>34</v>
      </c>
      <c r="K136" s="1" t="s">
        <v>35</v>
      </c>
      <c r="L136" s="5" t="s">
        <v>30</v>
      </c>
      <c r="M136" s="1" t="s">
        <v>41</v>
      </c>
      <c r="N136" s="1" t="str">
        <f>YEAR(sales_data[[#This Row],[Date]]) &amp; "-" &amp; TEXT(MONTH(sales_data[[#This Row],[Date]]), "00")</f>
        <v>2023-03</v>
      </c>
      <c r="O136" s="1">
        <f xml:space="preserve"> (sales_data[[#This Row],[Sales]]* (100 - sales_data[[#This Row],[Discount]]))/100</f>
        <v>20171.577655615685</v>
      </c>
    </row>
    <row r="137" spans="1:15" x14ac:dyDescent="0.5">
      <c r="A137" s="1" t="s">
        <v>141</v>
      </c>
      <c r="B137" s="1" t="s">
        <v>50</v>
      </c>
      <c r="C137">
        <v>11967.7683987121</v>
      </c>
      <c r="D137">
        <v>0</v>
      </c>
      <c r="E137" s="2">
        <v>45006</v>
      </c>
      <c r="F137" s="1">
        <v>150</v>
      </c>
      <c r="G137" s="1">
        <v>99</v>
      </c>
      <c r="H137" s="1" t="s">
        <v>15</v>
      </c>
      <c r="I137" s="1" t="s">
        <v>33</v>
      </c>
      <c r="J137" s="1" t="s">
        <v>17</v>
      </c>
      <c r="K137" s="1" t="s">
        <v>18</v>
      </c>
      <c r="L137" s="5" t="s">
        <v>85</v>
      </c>
      <c r="M137" s="1" t="s">
        <v>41</v>
      </c>
      <c r="N137" s="1" t="str">
        <f>YEAR(sales_data[[#This Row],[Date]]) &amp; "-" &amp; TEXT(MONTH(sales_data[[#This Row],[Date]]), "00")</f>
        <v>2023-03</v>
      </c>
      <c r="O137" s="1">
        <f xml:space="preserve"> (sales_data[[#This Row],[Sales]]* (100 - sales_data[[#This Row],[Discount]]))/100</f>
        <v>11967.7683987121</v>
      </c>
    </row>
    <row r="138" spans="1:15" x14ac:dyDescent="0.5">
      <c r="A138" s="1" t="s">
        <v>793</v>
      </c>
      <c r="B138" s="1" t="s">
        <v>29</v>
      </c>
      <c r="C138">
        <v>18779.2168235467</v>
      </c>
      <c r="D138">
        <v>5</v>
      </c>
      <c r="E138" s="2">
        <v>45006</v>
      </c>
      <c r="F138" s="1">
        <v>151</v>
      </c>
      <c r="G138" s="1">
        <v>16</v>
      </c>
      <c r="H138" s="1" t="s">
        <v>15</v>
      </c>
      <c r="I138" s="1" t="s">
        <v>23</v>
      </c>
      <c r="J138" s="1" t="s">
        <v>34</v>
      </c>
      <c r="K138" s="1" t="s">
        <v>25</v>
      </c>
      <c r="L138" s="5" t="s">
        <v>46</v>
      </c>
      <c r="M138" s="1" t="s">
        <v>44</v>
      </c>
      <c r="N138" s="1" t="str">
        <f>YEAR(sales_data[[#This Row],[Date]]) &amp; "-" &amp; TEXT(MONTH(sales_data[[#This Row],[Date]]), "00")</f>
        <v>2023-03</v>
      </c>
      <c r="O138" s="1">
        <f xml:space="preserve"> (sales_data[[#This Row],[Sales]]* (100 - sales_data[[#This Row],[Discount]]))/100</f>
        <v>17840.255982369363</v>
      </c>
    </row>
    <row r="139" spans="1:15" x14ac:dyDescent="0.5">
      <c r="A139" s="1" t="s">
        <v>670</v>
      </c>
      <c r="B139" s="1" t="s">
        <v>50</v>
      </c>
      <c r="C139">
        <v>20987.9980234619</v>
      </c>
      <c r="D139">
        <v>5</v>
      </c>
      <c r="E139" s="2">
        <v>45009</v>
      </c>
      <c r="F139" s="1">
        <v>101</v>
      </c>
      <c r="G139" s="1">
        <v>92</v>
      </c>
      <c r="H139" s="1" t="s">
        <v>15</v>
      </c>
      <c r="I139" s="1" t="s">
        <v>33</v>
      </c>
      <c r="J139" s="1" t="s">
        <v>24</v>
      </c>
      <c r="K139" s="1" t="s">
        <v>18</v>
      </c>
      <c r="L139" s="5" t="s">
        <v>54</v>
      </c>
      <c r="M139" s="1" t="s">
        <v>41</v>
      </c>
      <c r="N139" s="1" t="str">
        <f>YEAR(sales_data[[#This Row],[Date]]) &amp; "-" &amp; TEXT(MONTH(sales_data[[#This Row],[Date]]), "00")</f>
        <v>2023-03</v>
      </c>
      <c r="O139" s="1">
        <f xml:space="preserve"> (sales_data[[#This Row],[Sales]]* (100 - sales_data[[#This Row],[Discount]]))/100</f>
        <v>19938.598122288804</v>
      </c>
    </row>
    <row r="140" spans="1:15" x14ac:dyDescent="0.5">
      <c r="A140" s="1" t="s">
        <v>1020</v>
      </c>
      <c r="B140" s="1" t="s">
        <v>50</v>
      </c>
      <c r="C140">
        <v>22896.457498005399</v>
      </c>
      <c r="D140">
        <v>0</v>
      </c>
      <c r="E140" s="2">
        <v>45009</v>
      </c>
      <c r="F140" s="1">
        <v>102</v>
      </c>
      <c r="G140" s="1">
        <v>69</v>
      </c>
      <c r="H140" s="1" t="s">
        <v>15</v>
      </c>
      <c r="I140" s="1" t="s">
        <v>33</v>
      </c>
      <c r="J140" s="1" t="s">
        <v>17</v>
      </c>
      <c r="K140" s="1" t="s">
        <v>35</v>
      </c>
      <c r="L140" s="5" t="s">
        <v>46</v>
      </c>
      <c r="M140" s="1" t="s">
        <v>20</v>
      </c>
      <c r="N140" s="1" t="str">
        <f>YEAR(sales_data[[#This Row],[Date]]) &amp; "-" &amp; TEXT(MONTH(sales_data[[#This Row],[Date]]), "00")</f>
        <v>2023-03</v>
      </c>
      <c r="O140" s="1">
        <f xml:space="preserve"> (sales_data[[#This Row],[Sales]]* (100 - sales_data[[#This Row],[Discount]]))/100</f>
        <v>22896.457498005402</v>
      </c>
    </row>
    <row r="141" spans="1:15" x14ac:dyDescent="0.5">
      <c r="A141" s="1" t="s">
        <v>252</v>
      </c>
      <c r="B141" s="1" t="s">
        <v>22</v>
      </c>
      <c r="C141">
        <v>21668.3105264347</v>
      </c>
      <c r="D141">
        <v>0</v>
      </c>
      <c r="E141" s="2">
        <v>45010</v>
      </c>
      <c r="F141" s="1">
        <v>103</v>
      </c>
      <c r="G141" s="1">
        <v>29</v>
      </c>
      <c r="H141" s="1" t="s">
        <v>15</v>
      </c>
      <c r="I141" s="1" t="s">
        <v>33</v>
      </c>
      <c r="J141" s="1" t="s">
        <v>17</v>
      </c>
      <c r="K141" s="1" t="s">
        <v>25</v>
      </c>
      <c r="L141" s="5" t="s">
        <v>54</v>
      </c>
      <c r="M141" s="1" t="s">
        <v>48</v>
      </c>
      <c r="N141" s="1" t="str">
        <f>YEAR(sales_data[[#This Row],[Date]]) &amp; "-" &amp; TEXT(MONTH(sales_data[[#This Row],[Date]]), "00")</f>
        <v>2023-03</v>
      </c>
      <c r="O141" s="1">
        <f xml:space="preserve"> (sales_data[[#This Row],[Sales]]* (100 - sales_data[[#This Row],[Discount]]))/100</f>
        <v>21668.3105264347</v>
      </c>
    </row>
    <row r="142" spans="1:15" x14ac:dyDescent="0.5">
      <c r="A142" s="1" t="s">
        <v>255</v>
      </c>
      <c r="B142" s="1" t="s">
        <v>14</v>
      </c>
      <c r="C142">
        <v>18650.625323533099</v>
      </c>
      <c r="D142">
        <v>0</v>
      </c>
      <c r="E142" s="2">
        <v>45010</v>
      </c>
      <c r="F142" s="1">
        <v>145</v>
      </c>
      <c r="G142" s="1">
        <v>41</v>
      </c>
      <c r="H142" s="1" t="s">
        <v>15</v>
      </c>
      <c r="I142" s="1" t="s">
        <v>23</v>
      </c>
      <c r="J142" s="1" t="s">
        <v>17</v>
      </c>
      <c r="K142" s="1" t="s">
        <v>18</v>
      </c>
      <c r="L142" s="5" t="s">
        <v>38</v>
      </c>
      <c r="M142" s="1" t="s">
        <v>20</v>
      </c>
      <c r="N142" s="1" t="str">
        <f>YEAR(sales_data[[#This Row],[Date]]) &amp; "-" &amp; TEXT(MONTH(sales_data[[#This Row],[Date]]), "00")</f>
        <v>2023-03</v>
      </c>
      <c r="O142" s="1">
        <f xml:space="preserve"> (sales_data[[#This Row],[Sales]]* (100 - sales_data[[#This Row],[Discount]]))/100</f>
        <v>18650.625323533099</v>
      </c>
    </row>
    <row r="143" spans="1:15" x14ac:dyDescent="0.5">
      <c r="A143" s="1" t="s">
        <v>168</v>
      </c>
      <c r="B143" s="1" t="s">
        <v>14</v>
      </c>
      <c r="C143">
        <v>15845.2494179448</v>
      </c>
      <c r="D143">
        <v>15</v>
      </c>
      <c r="E143" s="2">
        <v>45011</v>
      </c>
      <c r="F143" s="1">
        <v>154</v>
      </c>
      <c r="G143" s="1">
        <v>12</v>
      </c>
      <c r="H143" s="1" t="s">
        <v>15</v>
      </c>
      <c r="I143" s="1" t="s">
        <v>33</v>
      </c>
      <c r="J143" s="1" t="s">
        <v>34</v>
      </c>
      <c r="K143" s="1" t="s">
        <v>18</v>
      </c>
      <c r="L143" s="5" t="s">
        <v>36</v>
      </c>
      <c r="M143" s="1" t="s">
        <v>41</v>
      </c>
      <c r="N143" s="1" t="str">
        <f>YEAR(sales_data[[#This Row],[Date]]) &amp; "-" &amp; TEXT(MONTH(sales_data[[#This Row],[Date]]), "00")</f>
        <v>2023-03</v>
      </c>
      <c r="O143" s="1">
        <f xml:space="preserve"> (sales_data[[#This Row],[Sales]]* (100 - sales_data[[#This Row],[Discount]]))/100</f>
        <v>13468.462005253081</v>
      </c>
    </row>
    <row r="144" spans="1:15" x14ac:dyDescent="0.5">
      <c r="A144" s="1" t="s">
        <v>440</v>
      </c>
      <c r="B144" s="1" t="s">
        <v>22</v>
      </c>
      <c r="C144">
        <v>13323.2782064494</v>
      </c>
      <c r="D144">
        <v>0</v>
      </c>
      <c r="E144" s="2">
        <v>45011</v>
      </c>
      <c r="F144" s="1">
        <v>162</v>
      </c>
      <c r="G144" s="1">
        <v>69</v>
      </c>
      <c r="H144" s="1" t="s">
        <v>15</v>
      </c>
      <c r="I144" s="1" t="s">
        <v>33</v>
      </c>
      <c r="J144" s="1" t="s">
        <v>34</v>
      </c>
      <c r="K144" s="1" t="s">
        <v>25</v>
      </c>
      <c r="L144" s="5" t="s">
        <v>46</v>
      </c>
      <c r="M144" s="1" t="s">
        <v>31</v>
      </c>
      <c r="N144" s="1" t="str">
        <f>YEAR(sales_data[[#This Row],[Date]]) &amp; "-" &amp; TEXT(MONTH(sales_data[[#This Row],[Date]]), "00")</f>
        <v>2023-03</v>
      </c>
      <c r="O144" s="1">
        <f xml:space="preserve"> (sales_data[[#This Row],[Sales]]* (100 - sales_data[[#This Row],[Discount]]))/100</f>
        <v>13323.2782064494</v>
      </c>
    </row>
    <row r="145" spans="1:15" x14ac:dyDescent="0.5">
      <c r="A145" s="1" t="s">
        <v>485</v>
      </c>
      <c r="B145" s="1" t="s">
        <v>29</v>
      </c>
      <c r="C145">
        <v>27897.860728653501</v>
      </c>
      <c r="D145">
        <v>10</v>
      </c>
      <c r="E145" s="2">
        <v>45011</v>
      </c>
      <c r="F145" s="1">
        <v>138</v>
      </c>
      <c r="G145" s="1">
        <v>86</v>
      </c>
      <c r="H145" s="1" t="s">
        <v>15</v>
      </c>
      <c r="I145" s="1" t="s">
        <v>33</v>
      </c>
      <c r="J145" s="1" t="s">
        <v>17</v>
      </c>
      <c r="K145" s="1" t="s">
        <v>35</v>
      </c>
      <c r="L145" s="5" t="s">
        <v>46</v>
      </c>
      <c r="M145" s="1" t="s">
        <v>55</v>
      </c>
      <c r="N145" s="1" t="str">
        <f>YEAR(sales_data[[#This Row],[Date]]) &amp; "-" &amp; TEXT(MONTH(sales_data[[#This Row],[Date]]), "00")</f>
        <v>2023-03</v>
      </c>
      <c r="O145" s="1">
        <f xml:space="preserve"> (sales_data[[#This Row],[Sales]]* (100 - sales_data[[#This Row],[Discount]]))/100</f>
        <v>25108.07465578815</v>
      </c>
    </row>
    <row r="146" spans="1:15" x14ac:dyDescent="0.5">
      <c r="A146" s="1" t="s">
        <v>849</v>
      </c>
      <c r="B146" s="1" t="s">
        <v>50</v>
      </c>
      <c r="C146">
        <v>20526.877530729798</v>
      </c>
      <c r="D146">
        <v>15</v>
      </c>
      <c r="E146" s="2">
        <v>45011</v>
      </c>
      <c r="F146" s="1">
        <v>186</v>
      </c>
      <c r="G146" s="1">
        <v>50</v>
      </c>
      <c r="H146" s="1" t="s">
        <v>15</v>
      </c>
      <c r="I146" s="1" t="s">
        <v>33</v>
      </c>
      <c r="J146" s="1" t="s">
        <v>34</v>
      </c>
      <c r="K146" s="1" t="s">
        <v>25</v>
      </c>
      <c r="L146" s="5" t="s">
        <v>46</v>
      </c>
      <c r="M146" s="1" t="s">
        <v>31</v>
      </c>
      <c r="N146" s="1" t="str">
        <f>YEAR(sales_data[[#This Row],[Date]]) &amp; "-" &amp; TEXT(MONTH(sales_data[[#This Row],[Date]]), "00")</f>
        <v>2023-03</v>
      </c>
      <c r="O146" s="1">
        <f xml:space="preserve"> (sales_data[[#This Row],[Sales]]* (100 - sales_data[[#This Row],[Discount]]))/100</f>
        <v>17447.845901120327</v>
      </c>
    </row>
    <row r="147" spans="1:15" x14ac:dyDescent="0.5">
      <c r="A147" s="1" t="s">
        <v>137</v>
      </c>
      <c r="B147" s="1" t="s">
        <v>50</v>
      </c>
      <c r="C147">
        <v>35394.404042276103</v>
      </c>
      <c r="D147">
        <v>5</v>
      </c>
      <c r="E147" s="2">
        <v>45014</v>
      </c>
      <c r="F147" s="1">
        <v>162</v>
      </c>
      <c r="G147" s="1">
        <v>6</v>
      </c>
      <c r="H147" s="1" t="s">
        <v>38</v>
      </c>
      <c r="I147" s="1" t="s">
        <v>16</v>
      </c>
      <c r="J147" s="1" t="s">
        <v>17</v>
      </c>
      <c r="K147" s="1" t="s">
        <v>35</v>
      </c>
      <c r="L147" s="5" t="s">
        <v>54</v>
      </c>
      <c r="M147" s="1" t="s">
        <v>31</v>
      </c>
      <c r="N147" s="1" t="str">
        <f>YEAR(sales_data[[#This Row],[Date]]) &amp; "-" &amp; TEXT(MONTH(sales_data[[#This Row],[Date]]), "00")</f>
        <v>2023-03</v>
      </c>
      <c r="O147" s="1">
        <f xml:space="preserve"> (sales_data[[#This Row],[Sales]]* (100 - sales_data[[#This Row],[Discount]]))/100</f>
        <v>33624.683840162295</v>
      </c>
    </row>
    <row r="148" spans="1:15" x14ac:dyDescent="0.5">
      <c r="A148" s="1" t="s">
        <v>926</v>
      </c>
      <c r="B148" s="1" t="s">
        <v>50</v>
      </c>
      <c r="C148">
        <v>15480.461792676</v>
      </c>
      <c r="D148">
        <v>10</v>
      </c>
      <c r="E148" s="2">
        <v>45016</v>
      </c>
      <c r="F148" s="1">
        <v>192</v>
      </c>
      <c r="G148" s="1">
        <v>40</v>
      </c>
      <c r="H148" s="1" t="s">
        <v>15</v>
      </c>
      <c r="I148" s="1" t="s">
        <v>23</v>
      </c>
      <c r="J148" s="1" t="s">
        <v>24</v>
      </c>
      <c r="K148" s="1" t="s">
        <v>35</v>
      </c>
      <c r="L148" s="5" t="s">
        <v>85</v>
      </c>
      <c r="M148" s="1" t="s">
        <v>31</v>
      </c>
      <c r="N148" s="1" t="str">
        <f>YEAR(sales_data[[#This Row],[Date]]) &amp; "-" &amp; TEXT(MONTH(sales_data[[#This Row],[Date]]), "00")</f>
        <v>2023-03</v>
      </c>
      <c r="O148" s="1">
        <f xml:space="preserve"> (sales_data[[#This Row],[Sales]]* (100 - sales_data[[#This Row],[Discount]]))/100</f>
        <v>13932.415613408401</v>
      </c>
    </row>
    <row r="149" spans="1:15" x14ac:dyDescent="0.5">
      <c r="A149" s="1" t="s">
        <v>727</v>
      </c>
      <c r="B149" s="1" t="s">
        <v>14</v>
      </c>
      <c r="C149">
        <v>17661.493993440501</v>
      </c>
      <c r="D149">
        <v>0</v>
      </c>
      <c r="E149" s="2">
        <v>45017</v>
      </c>
      <c r="F149" s="1">
        <v>174</v>
      </c>
      <c r="G149" s="1">
        <v>96</v>
      </c>
      <c r="H149" s="1" t="s">
        <v>38</v>
      </c>
      <c r="I149" s="1" t="s">
        <v>23</v>
      </c>
      <c r="J149" s="1" t="s">
        <v>17</v>
      </c>
      <c r="K149" s="1" t="s">
        <v>35</v>
      </c>
      <c r="L149" s="5" t="s">
        <v>58</v>
      </c>
      <c r="M149" s="1" t="s">
        <v>41</v>
      </c>
      <c r="N149" s="1" t="str">
        <f>YEAR(sales_data[[#This Row],[Date]]) &amp; "-" &amp; TEXT(MONTH(sales_data[[#This Row],[Date]]), "00")</f>
        <v>2023-04</v>
      </c>
      <c r="O149" s="1">
        <f xml:space="preserve"> (sales_data[[#This Row],[Sales]]* (100 - sales_data[[#This Row],[Discount]]))/100</f>
        <v>17661.493993440501</v>
      </c>
    </row>
    <row r="150" spans="1:15" x14ac:dyDescent="0.5">
      <c r="A150" s="1" t="s">
        <v>933</v>
      </c>
      <c r="B150" s="1" t="s">
        <v>22</v>
      </c>
      <c r="C150">
        <v>26065.488499895899</v>
      </c>
      <c r="D150">
        <v>10</v>
      </c>
      <c r="E150" s="2">
        <v>45017</v>
      </c>
      <c r="F150" s="1">
        <v>100</v>
      </c>
      <c r="G150" s="1">
        <v>46</v>
      </c>
      <c r="H150" s="1" t="s">
        <v>15</v>
      </c>
      <c r="I150" s="1" t="s">
        <v>16</v>
      </c>
      <c r="J150" s="1" t="s">
        <v>17</v>
      </c>
      <c r="K150" s="1" t="s">
        <v>25</v>
      </c>
      <c r="L150" s="5" t="s">
        <v>26</v>
      </c>
      <c r="M150" s="1" t="s">
        <v>55</v>
      </c>
      <c r="N150" s="1" t="str">
        <f>YEAR(sales_data[[#This Row],[Date]]) &amp; "-" &amp; TEXT(MONTH(sales_data[[#This Row],[Date]]), "00")</f>
        <v>2023-04</v>
      </c>
      <c r="O150" s="1">
        <f xml:space="preserve"> (sales_data[[#This Row],[Sales]]* (100 - sales_data[[#This Row],[Discount]]))/100</f>
        <v>23458.939649906308</v>
      </c>
    </row>
    <row r="151" spans="1:15" x14ac:dyDescent="0.5">
      <c r="A151" s="1" t="s">
        <v>772</v>
      </c>
      <c r="B151" s="1" t="s">
        <v>14</v>
      </c>
      <c r="C151">
        <v>22478.409439863</v>
      </c>
      <c r="D151">
        <v>0</v>
      </c>
      <c r="E151" s="2">
        <v>45018</v>
      </c>
      <c r="F151" s="1">
        <v>176</v>
      </c>
      <c r="G151" s="1">
        <v>8</v>
      </c>
      <c r="H151" s="1" t="s">
        <v>15</v>
      </c>
      <c r="I151" s="1" t="s">
        <v>23</v>
      </c>
      <c r="J151" s="1" t="s">
        <v>34</v>
      </c>
      <c r="K151" s="1" t="s">
        <v>18</v>
      </c>
      <c r="L151" s="5" t="s">
        <v>58</v>
      </c>
      <c r="M151" s="1" t="s">
        <v>48</v>
      </c>
      <c r="N151" s="1" t="str">
        <f>YEAR(sales_data[[#This Row],[Date]]) &amp; "-" &amp; TEXT(MONTH(sales_data[[#This Row],[Date]]), "00")</f>
        <v>2023-04</v>
      </c>
      <c r="O151" s="1">
        <f xml:space="preserve"> (sales_data[[#This Row],[Sales]]* (100 - sales_data[[#This Row],[Discount]]))/100</f>
        <v>22478.409439863</v>
      </c>
    </row>
    <row r="152" spans="1:15" x14ac:dyDescent="0.5">
      <c r="A152" s="1" t="s">
        <v>428</v>
      </c>
      <c r="B152" s="1" t="s">
        <v>29</v>
      </c>
      <c r="C152">
        <v>29062.242789984601</v>
      </c>
      <c r="D152">
        <v>10</v>
      </c>
      <c r="E152" s="2">
        <v>45019</v>
      </c>
      <c r="F152" s="1">
        <v>100</v>
      </c>
      <c r="G152" s="1">
        <v>29</v>
      </c>
      <c r="H152" s="1" t="s">
        <v>15</v>
      </c>
      <c r="I152" s="1" t="s">
        <v>16</v>
      </c>
      <c r="J152" s="1" t="s">
        <v>34</v>
      </c>
      <c r="K152" s="1" t="s">
        <v>18</v>
      </c>
      <c r="L152" s="5" t="s">
        <v>46</v>
      </c>
      <c r="M152" s="1" t="s">
        <v>48</v>
      </c>
      <c r="N152" s="1" t="str">
        <f>YEAR(sales_data[[#This Row],[Date]]) &amp; "-" &amp; TEXT(MONTH(sales_data[[#This Row],[Date]]), "00")</f>
        <v>2023-04</v>
      </c>
      <c r="O152" s="1">
        <f xml:space="preserve"> (sales_data[[#This Row],[Sales]]* (100 - sales_data[[#This Row],[Discount]]))/100</f>
        <v>26156.018510986141</v>
      </c>
    </row>
    <row r="153" spans="1:15" x14ac:dyDescent="0.5">
      <c r="A153" s="1" t="s">
        <v>475</v>
      </c>
      <c r="B153" s="1" t="s">
        <v>29</v>
      </c>
      <c r="C153">
        <v>21335.2513293462</v>
      </c>
      <c r="D153">
        <v>15</v>
      </c>
      <c r="E153" s="2">
        <v>45019</v>
      </c>
      <c r="F153" s="1">
        <v>133</v>
      </c>
      <c r="G153" s="1">
        <v>5</v>
      </c>
      <c r="H153" s="1" t="s">
        <v>15</v>
      </c>
      <c r="I153" s="1" t="s">
        <v>16</v>
      </c>
      <c r="J153" s="1" t="s">
        <v>24</v>
      </c>
      <c r="K153" s="1" t="s">
        <v>18</v>
      </c>
      <c r="L153" s="5" t="s">
        <v>26</v>
      </c>
      <c r="M153" s="1" t="s">
        <v>41</v>
      </c>
      <c r="N153" s="1" t="str">
        <f>YEAR(sales_data[[#This Row],[Date]]) &amp; "-" &amp; TEXT(MONTH(sales_data[[#This Row],[Date]]), "00")</f>
        <v>2023-04</v>
      </c>
      <c r="O153" s="1">
        <f xml:space="preserve"> (sales_data[[#This Row],[Sales]]* (100 - sales_data[[#This Row],[Discount]]))/100</f>
        <v>18134.963629944272</v>
      </c>
    </row>
    <row r="154" spans="1:15" x14ac:dyDescent="0.5">
      <c r="A154" s="1" t="s">
        <v>862</v>
      </c>
      <c r="B154" s="1" t="s">
        <v>14</v>
      </c>
      <c r="C154">
        <v>22716.490145181899</v>
      </c>
      <c r="D154">
        <v>10</v>
      </c>
      <c r="E154" s="2">
        <v>45020</v>
      </c>
      <c r="F154" s="1">
        <v>133</v>
      </c>
      <c r="G154" s="1">
        <v>55</v>
      </c>
      <c r="H154" s="1" t="s">
        <v>15</v>
      </c>
      <c r="I154" s="1" t="s">
        <v>23</v>
      </c>
      <c r="J154" s="1" t="s">
        <v>17</v>
      </c>
      <c r="K154" s="1" t="s">
        <v>35</v>
      </c>
      <c r="L154" s="5" t="s">
        <v>38</v>
      </c>
      <c r="M154" s="1" t="s">
        <v>48</v>
      </c>
      <c r="N154" s="1" t="str">
        <f>YEAR(sales_data[[#This Row],[Date]]) &amp; "-" &amp; TEXT(MONTH(sales_data[[#This Row],[Date]]), "00")</f>
        <v>2023-04</v>
      </c>
      <c r="O154" s="1">
        <f xml:space="preserve"> (sales_data[[#This Row],[Sales]]* (100 - sales_data[[#This Row],[Discount]]))/100</f>
        <v>20444.84113066371</v>
      </c>
    </row>
    <row r="155" spans="1:15" x14ac:dyDescent="0.5">
      <c r="A155" s="1" t="s">
        <v>611</v>
      </c>
      <c r="B155" s="1" t="s">
        <v>50</v>
      </c>
      <c r="C155">
        <v>13742.3028790477</v>
      </c>
      <c r="D155">
        <v>15</v>
      </c>
      <c r="E155" s="2">
        <v>45021</v>
      </c>
      <c r="F155" s="1">
        <v>127</v>
      </c>
      <c r="G155" s="1">
        <v>57</v>
      </c>
      <c r="H155" s="1" t="s">
        <v>15</v>
      </c>
      <c r="I155" s="1" t="s">
        <v>23</v>
      </c>
      <c r="J155" s="1" t="s">
        <v>24</v>
      </c>
      <c r="K155" s="1" t="s">
        <v>18</v>
      </c>
      <c r="L155" s="5" t="s">
        <v>38</v>
      </c>
      <c r="M155" s="1" t="s">
        <v>27</v>
      </c>
      <c r="N155" s="1" t="str">
        <f>YEAR(sales_data[[#This Row],[Date]]) &amp; "-" &amp; TEXT(MONTH(sales_data[[#This Row],[Date]]), "00")</f>
        <v>2023-04</v>
      </c>
      <c r="O155" s="1">
        <f xml:space="preserve"> (sales_data[[#This Row],[Sales]]* (100 - sales_data[[#This Row],[Discount]]))/100</f>
        <v>11680.957447190545</v>
      </c>
    </row>
    <row r="156" spans="1:15" x14ac:dyDescent="0.5">
      <c r="A156" s="1" t="s">
        <v>1018</v>
      </c>
      <c r="B156" s="1" t="s">
        <v>14</v>
      </c>
      <c r="C156">
        <v>20916.799598895701</v>
      </c>
      <c r="D156">
        <v>15</v>
      </c>
      <c r="E156" s="2">
        <v>45021</v>
      </c>
      <c r="F156" s="1">
        <v>160</v>
      </c>
      <c r="G156" s="1">
        <v>96</v>
      </c>
      <c r="H156" s="1" t="s">
        <v>15</v>
      </c>
      <c r="I156" s="1" t="s">
        <v>23</v>
      </c>
      <c r="J156" s="1" t="s">
        <v>17</v>
      </c>
      <c r="K156" s="1" t="s">
        <v>35</v>
      </c>
      <c r="L156" s="5" t="s">
        <v>36</v>
      </c>
      <c r="M156" s="1" t="s">
        <v>31</v>
      </c>
      <c r="N156" s="1" t="str">
        <f>YEAR(sales_data[[#This Row],[Date]]) &amp; "-" &amp; TEXT(MONTH(sales_data[[#This Row],[Date]]), "00")</f>
        <v>2023-04</v>
      </c>
      <c r="O156" s="1">
        <f xml:space="preserve"> (sales_data[[#This Row],[Sales]]* (100 - sales_data[[#This Row],[Discount]]))/100</f>
        <v>17779.279659061347</v>
      </c>
    </row>
    <row r="157" spans="1:15" x14ac:dyDescent="0.5">
      <c r="A157" s="1" t="s">
        <v>231</v>
      </c>
      <c r="B157" s="1" t="s">
        <v>50</v>
      </c>
      <c r="C157">
        <v>0</v>
      </c>
      <c r="D157">
        <v>15</v>
      </c>
      <c r="E157" s="2">
        <v>45022</v>
      </c>
      <c r="F157" s="1">
        <v>110</v>
      </c>
      <c r="G157" s="1">
        <v>49</v>
      </c>
      <c r="H157" s="1" t="s">
        <v>15</v>
      </c>
      <c r="I157" s="1" t="s">
        <v>33</v>
      </c>
      <c r="J157" s="1" t="s">
        <v>17</v>
      </c>
      <c r="K157" s="1" t="s">
        <v>18</v>
      </c>
      <c r="L157" s="5" t="s">
        <v>26</v>
      </c>
      <c r="M157" s="1" t="s">
        <v>20</v>
      </c>
      <c r="N157" s="1" t="str">
        <f>YEAR(sales_data[[#This Row],[Date]]) &amp; "-" &amp; TEXT(MONTH(sales_data[[#This Row],[Date]]), "00")</f>
        <v>2023-04</v>
      </c>
      <c r="O157" s="1">
        <f xml:space="preserve"> (sales_data[[#This Row],[Sales]]* (100 - sales_data[[#This Row],[Discount]]))/100</f>
        <v>0</v>
      </c>
    </row>
    <row r="158" spans="1:15" x14ac:dyDescent="0.5">
      <c r="A158" s="1" t="s">
        <v>288</v>
      </c>
      <c r="B158" s="1" t="s">
        <v>29</v>
      </c>
      <c r="C158">
        <v>25470.957592354702</v>
      </c>
      <c r="D158">
        <v>0</v>
      </c>
      <c r="E158" s="2">
        <v>45023</v>
      </c>
      <c r="F158" s="1">
        <v>186</v>
      </c>
      <c r="G158" s="1">
        <v>59</v>
      </c>
      <c r="H158" s="1" t="s">
        <v>15</v>
      </c>
      <c r="I158" s="1" t="s">
        <v>33</v>
      </c>
      <c r="J158" s="1" t="s">
        <v>34</v>
      </c>
      <c r="K158" s="1" t="s">
        <v>25</v>
      </c>
      <c r="L158" s="5" t="s">
        <v>46</v>
      </c>
      <c r="M158" s="1" t="s">
        <v>27</v>
      </c>
      <c r="N158" s="1" t="str">
        <f>YEAR(sales_data[[#This Row],[Date]]) &amp; "-" &amp; TEXT(MONTH(sales_data[[#This Row],[Date]]), "00")</f>
        <v>2023-04</v>
      </c>
      <c r="O158" s="1">
        <f xml:space="preserve"> (sales_data[[#This Row],[Sales]]* (100 - sales_data[[#This Row],[Discount]]))/100</f>
        <v>25470.957592354702</v>
      </c>
    </row>
    <row r="159" spans="1:15" x14ac:dyDescent="0.5">
      <c r="A159" s="1" t="s">
        <v>915</v>
      </c>
      <c r="B159" s="1" t="s">
        <v>29</v>
      </c>
      <c r="C159">
        <v>28362.861934188499</v>
      </c>
      <c r="D159">
        <v>5</v>
      </c>
      <c r="E159" s="2">
        <v>45023</v>
      </c>
      <c r="F159" s="1">
        <v>183</v>
      </c>
      <c r="G159" s="1">
        <v>36</v>
      </c>
      <c r="H159" s="1" t="s">
        <v>15</v>
      </c>
      <c r="I159" s="1" t="s">
        <v>33</v>
      </c>
      <c r="J159" s="1" t="s">
        <v>24</v>
      </c>
      <c r="K159" s="1" t="s">
        <v>35</v>
      </c>
      <c r="L159" s="5" t="s">
        <v>36</v>
      </c>
      <c r="M159" s="1" t="s">
        <v>48</v>
      </c>
      <c r="N159" s="1" t="str">
        <f>YEAR(sales_data[[#This Row],[Date]]) &amp; "-" &amp; TEXT(MONTH(sales_data[[#This Row],[Date]]), "00")</f>
        <v>2023-04</v>
      </c>
      <c r="O159" s="1">
        <f xml:space="preserve"> (sales_data[[#This Row],[Sales]]* (100 - sales_data[[#This Row],[Discount]]))/100</f>
        <v>26944.718837479075</v>
      </c>
    </row>
    <row r="160" spans="1:15" x14ac:dyDescent="0.5">
      <c r="A160" s="1" t="s">
        <v>221</v>
      </c>
      <c r="B160" s="1" t="s">
        <v>14</v>
      </c>
      <c r="C160">
        <v>0</v>
      </c>
      <c r="D160">
        <v>5</v>
      </c>
      <c r="E160" s="2">
        <v>45024</v>
      </c>
      <c r="F160" s="1">
        <v>118</v>
      </c>
      <c r="G160" s="1">
        <v>58</v>
      </c>
      <c r="H160" s="1" t="s">
        <v>15</v>
      </c>
      <c r="I160" s="1" t="s">
        <v>23</v>
      </c>
      <c r="J160" s="1" t="s">
        <v>34</v>
      </c>
      <c r="K160" s="1" t="s">
        <v>25</v>
      </c>
      <c r="L160" s="5" t="s">
        <v>36</v>
      </c>
      <c r="M160" s="1" t="s">
        <v>41</v>
      </c>
      <c r="N160" s="1" t="str">
        <f>YEAR(sales_data[[#This Row],[Date]]) &amp; "-" &amp; TEXT(MONTH(sales_data[[#This Row],[Date]]), "00")</f>
        <v>2023-04</v>
      </c>
      <c r="O160" s="1">
        <f xml:space="preserve"> (sales_data[[#This Row],[Sales]]* (100 - sales_data[[#This Row],[Discount]]))/100</f>
        <v>0</v>
      </c>
    </row>
    <row r="161" spans="1:15" x14ac:dyDescent="0.5">
      <c r="A161" s="1" t="s">
        <v>92</v>
      </c>
      <c r="B161" s="1" t="s">
        <v>14</v>
      </c>
      <c r="C161">
        <v>23587.711278979801</v>
      </c>
      <c r="D161">
        <v>5</v>
      </c>
      <c r="E161" s="2">
        <v>45025</v>
      </c>
      <c r="F161" s="1">
        <v>145</v>
      </c>
      <c r="G161" s="1">
        <v>13</v>
      </c>
      <c r="H161" s="1" t="s">
        <v>15</v>
      </c>
      <c r="I161" s="1" t="s">
        <v>16</v>
      </c>
      <c r="J161" s="1" t="s">
        <v>17</v>
      </c>
      <c r="K161" s="1" t="s">
        <v>35</v>
      </c>
      <c r="L161" s="5" t="s">
        <v>85</v>
      </c>
      <c r="M161" s="1" t="s">
        <v>20</v>
      </c>
      <c r="N161" s="1" t="str">
        <f>YEAR(sales_data[[#This Row],[Date]]) &amp; "-" &amp; TEXT(MONTH(sales_data[[#This Row],[Date]]), "00")</f>
        <v>2023-04</v>
      </c>
      <c r="O161" s="1">
        <f xml:space="preserve"> (sales_data[[#This Row],[Sales]]* (100 - sales_data[[#This Row],[Discount]]))/100</f>
        <v>22408.325715030809</v>
      </c>
    </row>
    <row r="162" spans="1:15" x14ac:dyDescent="0.5">
      <c r="A162" s="1" t="s">
        <v>378</v>
      </c>
      <c r="B162" s="1" t="s">
        <v>14</v>
      </c>
      <c r="C162">
        <v>19715.271881394601</v>
      </c>
      <c r="D162">
        <v>0</v>
      </c>
      <c r="E162" s="2">
        <v>45025</v>
      </c>
      <c r="F162" s="1">
        <v>180</v>
      </c>
      <c r="G162" s="1">
        <v>51</v>
      </c>
      <c r="H162" s="1" t="s">
        <v>15</v>
      </c>
      <c r="I162" s="1" t="s">
        <v>33</v>
      </c>
      <c r="J162" s="1" t="s">
        <v>24</v>
      </c>
      <c r="K162" s="1" t="s">
        <v>35</v>
      </c>
      <c r="L162" s="5" t="s">
        <v>38</v>
      </c>
      <c r="M162" s="1" t="s">
        <v>31</v>
      </c>
      <c r="N162" s="1" t="str">
        <f>YEAR(sales_data[[#This Row],[Date]]) &amp; "-" &amp; TEXT(MONTH(sales_data[[#This Row],[Date]]), "00")</f>
        <v>2023-04</v>
      </c>
      <c r="O162" s="1">
        <f xml:space="preserve"> (sales_data[[#This Row],[Sales]]* (100 - sales_data[[#This Row],[Discount]]))/100</f>
        <v>19715.271881394601</v>
      </c>
    </row>
    <row r="163" spans="1:15" x14ac:dyDescent="0.5">
      <c r="A163" s="1" t="s">
        <v>447</v>
      </c>
      <c r="B163" s="1" t="s">
        <v>14</v>
      </c>
      <c r="C163">
        <v>19649.171442706702</v>
      </c>
      <c r="D163">
        <v>10</v>
      </c>
      <c r="E163" s="2">
        <v>45027</v>
      </c>
      <c r="F163" s="1">
        <v>129</v>
      </c>
      <c r="G163" s="1">
        <v>23</v>
      </c>
      <c r="H163" s="1" t="s">
        <v>15</v>
      </c>
      <c r="I163" s="1" t="s">
        <v>23</v>
      </c>
      <c r="J163" s="1" t="s">
        <v>17</v>
      </c>
      <c r="K163" s="1" t="s">
        <v>35</v>
      </c>
      <c r="L163" s="5" t="s">
        <v>19</v>
      </c>
      <c r="M163" s="1" t="s">
        <v>20</v>
      </c>
      <c r="N163" s="1" t="str">
        <f>YEAR(sales_data[[#This Row],[Date]]) &amp; "-" &amp; TEXT(MONTH(sales_data[[#This Row],[Date]]), "00")</f>
        <v>2023-04</v>
      </c>
      <c r="O163" s="1">
        <f xml:space="preserve"> (sales_data[[#This Row],[Sales]]* (100 - sales_data[[#This Row],[Discount]]))/100</f>
        <v>17684.254298436033</v>
      </c>
    </row>
    <row r="164" spans="1:15" x14ac:dyDescent="0.5">
      <c r="A164" s="1" t="s">
        <v>220</v>
      </c>
      <c r="B164" s="1" t="s">
        <v>50</v>
      </c>
      <c r="C164">
        <v>30377.003993227099</v>
      </c>
      <c r="D164">
        <v>0</v>
      </c>
      <c r="E164" s="2">
        <v>45028</v>
      </c>
      <c r="F164" s="1">
        <v>119</v>
      </c>
      <c r="G164" s="1">
        <v>6</v>
      </c>
      <c r="H164" s="1" t="s">
        <v>15</v>
      </c>
      <c r="I164" s="1" t="s">
        <v>23</v>
      </c>
      <c r="J164" s="1" t="s">
        <v>24</v>
      </c>
      <c r="K164" s="1" t="s">
        <v>18</v>
      </c>
      <c r="L164" s="5" t="s">
        <v>26</v>
      </c>
      <c r="M164" s="1" t="s">
        <v>55</v>
      </c>
      <c r="N164" s="1" t="str">
        <f>YEAR(sales_data[[#This Row],[Date]]) &amp; "-" &amp; TEXT(MONTH(sales_data[[#This Row],[Date]]), "00")</f>
        <v>2023-04</v>
      </c>
      <c r="O164" s="1">
        <f xml:space="preserve"> (sales_data[[#This Row],[Sales]]* (100 - sales_data[[#This Row],[Discount]]))/100</f>
        <v>30377.003993227099</v>
      </c>
    </row>
    <row r="165" spans="1:15" x14ac:dyDescent="0.5">
      <c r="A165" s="1" t="s">
        <v>294</v>
      </c>
      <c r="B165" s="1" t="s">
        <v>14</v>
      </c>
      <c r="C165">
        <v>11725.7166406711</v>
      </c>
      <c r="D165">
        <v>10</v>
      </c>
      <c r="E165" s="2">
        <v>45030</v>
      </c>
      <c r="F165" s="1">
        <v>150</v>
      </c>
      <c r="G165" s="1">
        <v>98</v>
      </c>
      <c r="H165" s="1" t="s">
        <v>15</v>
      </c>
      <c r="I165" s="1" t="s">
        <v>33</v>
      </c>
      <c r="J165" s="1" t="s">
        <v>24</v>
      </c>
      <c r="K165" s="1" t="s">
        <v>18</v>
      </c>
      <c r="L165" s="5" t="s">
        <v>46</v>
      </c>
      <c r="M165" s="1" t="s">
        <v>31</v>
      </c>
      <c r="N165" s="1" t="str">
        <f>YEAR(sales_data[[#This Row],[Date]]) &amp; "-" &amp; TEXT(MONTH(sales_data[[#This Row],[Date]]), "00")</f>
        <v>2023-04</v>
      </c>
      <c r="O165" s="1">
        <f xml:space="preserve"> (sales_data[[#This Row],[Sales]]* (100 - sales_data[[#This Row],[Discount]]))/100</f>
        <v>10553.14497660399</v>
      </c>
    </row>
    <row r="166" spans="1:15" x14ac:dyDescent="0.5">
      <c r="A166" s="1" t="s">
        <v>571</v>
      </c>
      <c r="B166" s="1" t="s">
        <v>14</v>
      </c>
      <c r="C166">
        <v>21246.918418553701</v>
      </c>
      <c r="D166">
        <v>10</v>
      </c>
      <c r="E166" s="2">
        <v>45030</v>
      </c>
      <c r="F166" s="1">
        <v>148</v>
      </c>
      <c r="G166" s="1">
        <v>16</v>
      </c>
      <c r="H166" s="1" t="s">
        <v>38</v>
      </c>
      <c r="I166" s="1" t="s">
        <v>33</v>
      </c>
      <c r="J166" s="1" t="s">
        <v>34</v>
      </c>
      <c r="K166" s="1" t="s">
        <v>25</v>
      </c>
      <c r="L166" s="5" t="s">
        <v>36</v>
      </c>
      <c r="M166" s="1" t="s">
        <v>27</v>
      </c>
      <c r="N166" s="1" t="str">
        <f>YEAR(sales_data[[#This Row],[Date]]) &amp; "-" &amp; TEXT(MONTH(sales_data[[#This Row],[Date]]), "00")</f>
        <v>2023-04</v>
      </c>
      <c r="O166" s="1">
        <f xml:space="preserve"> (sales_data[[#This Row],[Sales]]* (100 - sales_data[[#This Row],[Discount]]))/100</f>
        <v>19122.226576698333</v>
      </c>
    </row>
    <row r="167" spans="1:15" x14ac:dyDescent="0.5">
      <c r="A167" s="1" t="s">
        <v>333</v>
      </c>
      <c r="B167" s="1" t="s">
        <v>29</v>
      </c>
      <c r="C167">
        <v>12962.441526410799</v>
      </c>
      <c r="D167">
        <v>0</v>
      </c>
      <c r="E167" s="2">
        <v>45031</v>
      </c>
      <c r="F167" s="1">
        <v>120</v>
      </c>
      <c r="G167" s="1">
        <v>17</v>
      </c>
      <c r="H167" s="1" t="s">
        <v>15</v>
      </c>
      <c r="I167" s="1" t="s">
        <v>16</v>
      </c>
      <c r="J167" s="1" t="s">
        <v>24</v>
      </c>
      <c r="K167" s="1" t="s">
        <v>35</v>
      </c>
      <c r="L167" s="5" t="s">
        <v>26</v>
      </c>
      <c r="M167" s="1" t="s">
        <v>20</v>
      </c>
      <c r="N167" s="1" t="str">
        <f>YEAR(sales_data[[#This Row],[Date]]) &amp; "-" &amp; TEXT(MONTH(sales_data[[#This Row],[Date]]), "00")</f>
        <v>2023-04</v>
      </c>
      <c r="O167" s="1">
        <f xml:space="preserve"> (sales_data[[#This Row],[Sales]]* (100 - sales_data[[#This Row],[Discount]]))/100</f>
        <v>12962.441526410799</v>
      </c>
    </row>
    <row r="168" spans="1:15" x14ac:dyDescent="0.5">
      <c r="A168" s="1" t="s">
        <v>405</v>
      </c>
      <c r="B168" s="1" t="s">
        <v>22</v>
      </c>
      <c r="C168">
        <v>20933.833822385299</v>
      </c>
      <c r="D168">
        <v>5</v>
      </c>
      <c r="E168" s="2">
        <v>45031</v>
      </c>
      <c r="F168" s="1">
        <v>179</v>
      </c>
      <c r="G168" s="1">
        <v>63</v>
      </c>
      <c r="H168" s="1" t="s">
        <v>15</v>
      </c>
      <c r="I168" s="1" t="s">
        <v>16</v>
      </c>
      <c r="J168" s="1" t="s">
        <v>34</v>
      </c>
      <c r="K168" s="1" t="s">
        <v>25</v>
      </c>
      <c r="L168" s="5" t="s">
        <v>58</v>
      </c>
      <c r="M168" s="1" t="s">
        <v>20</v>
      </c>
      <c r="N168" s="1" t="str">
        <f>YEAR(sales_data[[#This Row],[Date]]) &amp; "-" &amp; TEXT(MONTH(sales_data[[#This Row],[Date]]), "00")</f>
        <v>2023-04</v>
      </c>
      <c r="O168" s="1">
        <f xml:space="preserve"> (sales_data[[#This Row],[Sales]]* (100 - sales_data[[#This Row],[Discount]]))/100</f>
        <v>19887.142131266031</v>
      </c>
    </row>
    <row r="169" spans="1:15" x14ac:dyDescent="0.5">
      <c r="A169" s="1" t="s">
        <v>815</v>
      </c>
      <c r="B169" s="1" t="s">
        <v>29</v>
      </c>
      <c r="C169">
        <v>16559.248274111302</v>
      </c>
      <c r="D169">
        <v>0</v>
      </c>
      <c r="E169" s="2">
        <v>45031</v>
      </c>
      <c r="F169" s="1">
        <v>145</v>
      </c>
      <c r="G169" s="1">
        <v>99</v>
      </c>
      <c r="H169" s="1" t="s">
        <v>38</v>
      </c>
      <c r="I169" s="1" t="s">
        <v>33</v>
      </c>
      <c r="J169" s="1" t="s">
        <v>34</v>
      </c>
      <c r="K169" s="1" t="s">
        <v>25</v>
      </c>
      <c r="L169" s="5" t="s">
        <v>36</v>
      </c>
      <c r="M169" s="1" t="s">
        <v>31</v>
      </c>
      <c r="N169" s="1" t="str">
        <f>YEAR(sales_data[[#This Row],[Date]]) &amp; "-" &amp; TEXT(MONTH(sales_data[[#This Row],[Date]]), "00")</f>
        <v>2023-04</v>
      </c>
      <c r="O169" s="1">
        <f xml:space="preserve"> (sales_data[[#This Row],[Sales]]* (100 - sales_data[[#This Row],[Discount]]))/100</f>
        <v>16559.248274111302</v>
      </c>
    </row>
    <row r="170" spans="1:15" x14ac:dyDescent="0.5">
      <c r="A170" s="1" t="s">
        <v>940</v>
      </c>
      <c r="B170" s="1" t="s">
        <v>22</v>
      </c>
      <c r="C170">
        <v>19237.650818097201</v>
      </c>
      <c r="D170">
        <v>10</v>
      </c>
      <c r="E170" s="2">
        <v>45031</v>
      </c>
      <c r="F170" s="1">
        <v>174</v>
      </c>
      <c r="G170" s="1">
        <v>48</v>
      </c>
      <c r="H170" s="1" t="s">
        <v>38</v>
      </c>
      <c r="I170" s="1" t="s">
        <v>23</v>
      </c>
      <c r="J170" s="1" t="s">
        <v>17</v>
      </c>
      <c r="K170" s="1" t="s">
        <v>25</v>
      </c>
      <c r="L170" s="5" t="s">
        <v>36</v>
      </c>
      <c r="M170" s="1" t="s">
        <v>31</v>
      </c>
      <c r="N170" s="1" t="str">
        <f>YEAR(sales_data[[#This Row],[Date]]) &amp; "-" &amp; TEXT(MONTH(sales_data[[#This Row],[Date]]), "00")</f>
        <v>2023-04</v>
      </c>
      <c r="O170" s="1">
        <f xml:space="preserve"> (sales_data[[#This Row],[Sales]]* (100 - sales_data[[#This Row],[Discount]]))/100</f>
        <v>17313.885736287481</v>
      </c>
    </row>
    <row r="171" spans="1:15" x14ac:dyDescent="0.5">
      <c r="A171" s="1" t="s">
        <v>903</v>
      </c>
      <c r="B171" s="1" t="s">
        <v>50</v>
      </c>
      <c r="C171">
        <v>16753.6122746699</v>
      </c>
      <c r="D171">
        <v>15</v>
      </c>
      <c r="E171" s="2">
        <v>45032</v>
      </c>
      <c r="F171" s="1">
        <v>109</v>
      </c>
      <c r="G171" s="1">
        <v>38</v>
      </c>
      <c r="H171" s="1" t="s">
        <v>15</v>
      </c>
      <c r="I171" s="1" t="s">
        <v>33</v>
      </c>
      <c r="J171" s="1" t="s">
        <v>24</v>
      </c>
      <c r="K171" s="1" t="s">
        <v>25</v>
      </c>
      <c r="L171" s="5" t="s">
        <v>58</v>
      </c>
      <c r="M171" s="1" t="s">
        <v>55</v>
      </c>
      <c r="N171" s="1" t="str">
        <f>YEAR(sales_data[[#This Row],[Date]]) &amp; "-" &amp; TEXT(MONTH(sales_data[[#This Row],[Date]]), "00")</f>
        <v>2023-04</v>
      </c>
      <c r="O171" s="1">
        <f xml:space="preserve"> (sales_data[[#This Row],[Sales]]* (100 - sales_data[[#This Row],[Discount]]))/100</f>
        <v>14240.570433469415</v>
      </c>
    </row>
    <row r="172" spans="1:15" x14ac:dyDescent="0.5">
      <c r="A172" s="1" t="s">
        <v>71</v>
      </c>
      <c r="B172" s="1" t="s">
        <v>50</v>
      </c>
      <c r="C172">
        <v>26388.384109492501</v>
      </c>
      <c r="D172">
        <v>5</v>
      </c>
      <c r="E172" s="2">
        <v>45033</v>
      </c>
      <c r="F172" s="1">
        <v>108</v>
      </c>
      <c r="G172" s="1">
        <v>63</v>
      </c>
      <c r="H172" s="1" t="s">
        <v>15</v>
      </c>
      <c r="I172" s="1" t="s">
        <v>16</v>
      </c>
      <c r="J172" s="1" t="s">
        <v>34</v>
      </c>
      <c r="K172" s="1" t="s">
        <v>35</v>
      </c>
      <c r="L172" s="5" t="s">
        <v>46</v>
      </c>
      <c r="M172" s="1" t="s">
        <v>41</v>
      </c>
      <c r="N172" s="1" t="str">
        <f>YEAR(sales_data[[#This Row],[Date]]) &amp; "-" &amp; TEXT(MONTH(sales_data[[#This Row],[Date]]), "00")</f>
        <v>2023-04</v>
      </c>
      <c r="O172" s="1">
        <f xml:space="preserve"> (sales_data[[#This Row],[Sales]]* (100 - sales_data[[#This Row],[Discount]]))/100</f>
        <v>25068.964904017877</v>
      </c>
    </row>
    <row r="173" spans="1:15" x14ac:dyDescent="0.5">
      <c r="A173" s="1" t="s">
        <v>229</v>
      </c>
      <c r="B173" s="1" t="s">
        <v>29</v>
      </c>
      <c r="C173">
        <v>20092.091895947699</v>
      </c>
      <c r="D173">
        <v>15</v>
      </c>
      <c r="E173" s="2">
        <v>45033</v>
      </c>
      <c r="F173" s="1">
        <v>194</v>
      </c>
      <c r="G173" s="1">
        <v>84</v>
      </c>
      <c r="H173" s="1" t="s">
        <v>38</v>
      </c>
      <c r="I173" s="1" t="s">
        <v>33</v>
      </c>
      <c r="J173" s="1" t="s">
        <v>34</v>
      </c>
      <c r="K173" s="1" t="s">
        <v>35</v>
      </c>
      <c r="L173" s="5" t="s">
        <v>38</v>
      </c>
      <c r="M173" s="1" t="s">
        <v>31</v>
      </c>
      <c r="N173" s="1" t="str">
        <f>YEAR(sales_data[[#This Row],[Date]]) &amp; "-" &amp; TEXT(MONTH(sales_data[[#This Row],[Date]]), "00")</f>
        <v>2023-04</v>
      </c>
      <c r="O173" s="1">
        <f xml:space="preserve"> (sales_data[[#This Row],[Sales]]* (100 - sales_data[[#This Row],[Discount]]))/100</f>
        <v>17078.278111555544</v>
      </c>
    </row>
    <row r="174" spans="1:15" x14ac:dyDescent="0.5">
      <c r="A174" s="1" t="s">
        <v>488</v>
      </c>
      <c r="B174" s="1" t="s">
        <v>22</v>
      </c>
      <c r="C174">
        <v>18591.076955697401</v>
      </c>
      <c r="D174">
        <v>10</v>
      </c>
      <c r="E174" s="2">
        <v>45035</v>
      </c>
      <c r="F174" s="1">
        <v>129</v>
      </c>
      <c r="G174" s="1">
        <v>37</v>
      </c>
      <c r="H174" s="1" t="s">
        <v>15</v>
      </c>
      <c r="I174" s="1" t="s">
        <v>23</v>
      </c>
      <c r="J174" s="1" t="s">
        <v>34</v>
      </c>
      <c r="K174" s="1" t="s">
        <v>18</v>
      </c>
      <c r="L174" s="5" t="s">
        <v>26</v>
      </c>
      <c r="M174" s="1" t="s">
        <v>44</v>
      </c>
      <c r="N174" s="1" t="str">
        <f>YEAR(sales_data[[#This Row],[Date]]) &amp; "-" &amp; TEXT(MONTH(sales_data[[#This Row],[Date]]), "00")</f>
        <v>2023-04</v>
      </c>
      <c r="O174" s="1">
        <f xml:space="preserve"> (sales_data[[#This Row],[Sales]]* (100 - sales_data[[#This Row],[Discount]]))/100</f>
        <v>16731.969260127662</v>
      </c>
    </row>
    <row r="175" spans="1:15" x14ac:dyDescent="0.5">
      <c r="A175" s="1" t="s">
        <v>579</v>
      </c>
      <c r="B175" s="1" t="s">
        <v>14</v>
      </c>
      <c r="C175">
        <v>25368.1587492988</v>
      </c>
      <c r="D175">
        <v>10</v>
      </c>
      <c r="E175" s="2">
        <v>45036</v>
      </c>
      <c r="F175" s="1">
        <v>186</v>
      </c>
      <c r="G175" s="1">
        <v>86</v>
      </c>
      <c r="H175" s="1" t="s">
        <v>15</v>
      </c>
      <c r="I175" s="1" t="s">
        <v>33</v>
      </c>
      <c r="J175" s="1" t="s">
        <v>34</v>
      </c>
      <c r="K175" s="1" t="s">
        <v>25</v>
      </c>
      <c r="L175" s="5" t="s">
        <v>85</v>
      </c>
      <c r="M175" s="1" t="s">
        <v>55</v>
      </c>
      <c r="N175" s="1" t="str">
        <f>YEAR(sales_data[[#This Row],[Date]]) &amp; "-" &amp; TEXT(MONTH(sales_data[[#This Row],[Date]]), "00")</f>
        <v>2023-04</v>
      </c>
      <c r="O175" s="1">
        <f xml:space="preserve"> (sales_data[[#This Row],[Sales]]* (100 - sales_data[[#This Row],[Discount]]))/100</f>
        <v>22831.342874368918</v>
      </c>
    </row>
    <row r="176" spans="1:15" x14ac:dyDescent="0.5">
      <c r="A176" s="1" t="s">
        <v>799</v>
      </c>
      <c r="B176" s="1" t="s">
        <v>50</v>
      </c>
      <c r="C176">
        <v>18512.182483199998</v>
      </c>
      <c r="D176">
        <v>5</v>
      </c>
      <c r="E176" s="2">
        <v>45036</v>
      </c>
      <c r="F176" s="1">
        <v>126</v>
      </c>
      <c r="G176" s="1">
        <v>54</v>
      </c>
      <c r="H176" s="1" t="s">
        <v>38</v>
      </c>
      <c r="I176" s="1" t="s">
        <v>23</v>
      </c>
      <c r="J176" s="1" t="s">
        <v>34</v>
      </c>
      <c r="K176" s="1" t="s">
        <v>25</v>
      </c>
      <c r="L176" s="5" t="s">
        <v>19</v>
      </c>
      <c r="M176" s="1" t="s">
        <v>41</v>
      </c>
      <c r="N176" s="1" t="str">
        <f>YEAR(sales_data[[#This Row],[Date]]) &amp; "-" &amp; TEXT(MONTH(sales_data[[#This Row],[Date]]), "00")</f>
        <v>2023-04</v>
      </c>
      <c r="O176" s="1">
        <f xml:space="preserve"> (sales_data[[#This Row],[Sales]]* (100 - sales_data[[#This Row],[Discount]]))/100</f>
        <v>17586.573359039998</v>
      </c>
    </row>
    <row r="177" spans="1:15" x14ac:dyDescent="0.5">
      <c r="A177" s="1" t="s">
        <v>964</v>
      </c>
      <c r="B177" s="1" t="s">
        <v>22</v>
      </c>
      <c r="C177">
        <v>15507.6600910448</v>
      </c>
      <c r="D177">
        <v>5</v>
      </c>
      <c r="E177" s="2">
        <v>45036</v>
      </c>
      <c r="F177" s="1">
        <v>139</v>
      </c>
      <c r="G177" s="1">
        <v>94</v>
      </c>
      <c r="H177" s="1" t="s">
        <v>15</v>
      </c>
      <c r="I177" s="1" t="s">
        <v>23</v>
      </c>
      <c r="J177" s="1" t="s">
        <v>34</v>
      </c>
      <c r="K177" s="1" t="s">
        <v>25</v>
      </c>
      <c r="L177" s="5" t="s">
        <v>85</v>
      </c>
      <c r="M177" s="1" t="s">
        <v>20</v>
      </c>
      <c r="N177" s="1" t="str">
        <f>YEAR(sales_data[[#This Row],[Date]]) &amp; "-" &amp; TEXT(MONTH(sales_data[[#This Row],[Date]]), "00")</f>
        <v>2023-04</v>
      </c>
      <c r="O177" s="1">
        <f xml:space="preserve"> (sales_data[[#This Row],[Sales]]* (100 - sales_data[[#This Row],[Discount]]))/100</f>
        <v>14732.277086492561</v>
      </c>
    </row>
    <row r="178" spans="1:15" x14ac:dyDescent="0.5">
      <c r="A178" s="1" t="s">
        <v>991</v>
      </c>
      <c r="B178" s="1" t="s">
        <v>29</v>
      </c>
      <c r="C178">
        <v>18932.7856453489</v>
      </c>
      <c r="D178">
        <v>0</v>
      </c>
      <c r="E178" s="2">
        <v>45037</v>
      </c>
      <c r="F178" s="1">
        <v>197</v>
      </c>
      <c r="G178" s="1">
        <v>93</v>
      </c>
      <c r="H178" s="1" t="s">
        <v>15</v>
      </c>
      <c r="I178" s="1" t="s">
        <v>16</v>
      </c>
      <c r="J178" s="1" t="s">
        <v>34</v>
      </c>
      <c r="K178" s="1" t="s">
        <v>18</v>
      </c>
      <c r="L178" s="5" t="s">
        <v>46</v>
      </c>
      <c r="M178" s="1" t="s">
        <v>44</v>
      </c>
      <c r="N178" s="1" t="str">
        <f>YEAR(sales_data[[#This Row],[Date]]) &amp; "-" &amp; TEXT(MONTH(sales_data[[#This Row],[Date]]), "00")</f>
        <v>2023-04</v>
      </c>
      <c r="O178" s="1">
        <f xml:space="preserve"> (sales_data[[#This Row],[Sales]]* (100 - sales_data[[#This Row],[Discount]]))/100</f>
        <v>18932.7856453489</v>
      </c>
    </row>
    <row r="179" spans="1:15" x14ac:dyDescent="0.5">
      <c r="A179" s="1" t="s">
        <v>127</v>
      </c>
      <c r="B179" s="1" t="s">
        <v>29</v>
      </c>
      <c r="C179">
        <v>17347.4942619473</v>
      </c>
      <c r="D179">
        <v>10</v>
      </c>
      <c r="E179" s="2">
        <v>45038</v>
      </c>
      <c r="F179" s="1">
        <v>118</v>
      </c>
      <c r="G179" s="1">
        <v>83</v>
      </c>
      <c r="H179" s="1" t="s">
        <v>38</v>
      </c>
      <c r="I179" s="1" t="s">
        <v>33</v>
      </c>
      <c r="J179" s="1" t="s">
        <v>24</v>
      </c>
      <c r="K179" s="1" t="s">
        <v>18</v>
      </c>
      <c r="L179" s="5" t="s">
        <v>58</v>
      </c>
      <c r="M179" s="1" t="s">
        <v>27</v>
      </c>
      <c r="N179" s="1" t="str">
        <f>YEAR(sales_data[[#This Row],[Date]]) &amp; "-" &amp; TEXT(MONTH(sales_data[[#This Row],[Date]]), "00")</f>
        <v>2023-04</v>
      </c>
      <c r="O179" s="1">
        <f xml:space="preserve"> (sales_data[[#This Row],[Sales]]* (100 - sales_data[[#This Row],[Discount]]))/100</f>
        <v>15612.74483575257</v>
      </c>
    </row>
    <row r="180" spans="1:15" x14ac:dyDescent="0.5">
      <c r="A180" s="1" t="s">
        <v>286</v>
      </c>
      <c r="B180" s="1" t="s">
        <v>14</v>
      </c>
      <c r="C180">
        <v>19371.065399501698</v>
      </c>
      <c r="D180">
        <v>5</v>
      </c>
      <c r="E180" s="2">
        <v>45038</v>
      </c>
      <c r="F180" s="1">
        <v>185</v>
      </c>
      <c r="G180" s="1">
        <v>53</v>
      </c>
      <c r="H180" s="1" t="s">
        <v>15</v>
      </c>
      <c r="I180" s="1" t="s">
        <v>23</v>
      </c>
      <c r="J180" s="1" t="s">
        <v>24</v>
      </c>
      <c r="K180" s="1" t="s">
        <v>35</v>
      </c>
      <c r="L180" s="5" t="s">
        <v>38</v>
      </c>
      <c r="M180" s="1" t="s">
        <v>55</v>
      </c>
      <c r="N180" s="1" t="str">
        <f>YEAR(sales_data[[#This Row],[Date]]) &amp; "-" &amp; TEXT(MONTH(sales_data[[#This Row],[Date]]), "00")</f>
        <v>2023-04</v>
      </c>
      <c r="O180" s="1">
        <f xml:space="preserve"> (sales_data[[#This Row],[Sales]]* (100 - sales_data[[#This Row],[Discount]]))/100</f>
        <v>18402.512129526614</v>
      </c>
    </row>
    <row r="181" spans="1:15" x14ac:dyDescent="0.5">
      <c r="A181" s="1" t="s">
        <v>632</v>
      </c>
      <c r="B181" s="1" t="s">
        <v>14</v>
      </c>
      <c r="C181">
        <v>16736.880103488002</v>
      </c>
      <c r="D181">
        <v>5</v>
      </c>
      <c r="E181" s="2">
        <v>45038</v>
      </c>
      <c r="F181" s="1">
        <v>185</v>
      </c>
      <c r="G181" s="1">
        <v>62</v>
      </c>
      <c r="H181" s="1" t="s">
        <v>15</v>
      </c>
      <c r="I181" s="1" t="s">
        <v>33</v>
      </c>
      <c r="J181" s="1" t="s">
        <v>24</v>
      </c>
      <c r="K181" s="1" t="s">
        <v>35</v>
      </c>
      <c r="L181" s="5" t="s">
        <v>58</v>
      </c>
      <c r="M181" s="1" t="s">
        <v>41</v>
      </c>
      <c r="N181" s="1" t="str">
        <f>YEAR(sales_data[[#This Row],[Date]]) &amp; "-" &amp; TEXT(MONTH(sales_data[[#This Row],[Date]]), "00")</f>
        <v>2023-04</v>
      </c>
      <c r="O181" s="1">
        <f xml:space="preserve"> (sales_data[[#This Row],[Sales]]* (100 - sales_data[[#This Row],[Discount]]))/100</f>
        <v>15900.036098313602</v>
      </c>
    </row>
    <row r="182" spans="1:15" x14ac:dyDescent="0.5">
      <c r="A182" s="1" t="s">
        <v>694</v>
      </c>
      <c r="B182" s="1" t="s">
        <v>40</v>
      </c>
      <c r="C182">
        <v>27869.933816450099</v>
      </c>
      <c r="D182">
        <v>0</v>
      </c>
      <c r="E182" s="2">
        <v>45038</v>
      </c>
      <c r="F182" s="1">
        <v>180</v>
      </c>
      <c r="G182" s="1">
        <v>59</v>
      </c>
      <c r="H182" s="1" t="s">
        <v>15</v>
      </c>
      <c r="I182" s="1" t="s">
        <v>33</v>
      </c>
      <c r="J182" s="1" t="s">
        <v>24</v>
      </c>
      <c r="K182" s="1" t="s">
        <v>35</v>
      </c>
      <c r="L182" s="5" t="s">
        <v>36</v>
      </c>
      <c r="M182" s="1" t="s">
        <v>27</v>
      </c>
      <c r="N182" s="1" t="str">
        <f>YEAR(sales_data[[#This Row],[Date]]) &amp; "-" &amp; TEXT(MONTH(sales_data[[#This Row],[Date]]), "00")</f>
        <v>2023-04</v>
      </c>
      <c r="O182" s="1">
        <f xml:space="preserve"> (sales_data[[#This Row],[Sales]]* (100 - sales_data[[#This Row],[Discount]]))/100</f>
        <v>27869.933816450099</v>
      </c>
    </row>
    <row r="183" spans="1:15" x14ac:dyDescent="0.5">
      <c r="A183" s="1" t="s">
        <v>599</v>
      </c>
      <c r="B183" s="1" t="s">
        <v>29</v>
      </c>
      <c r="C183">
        <v>13598.4780066455</v>
      </c>
      <c r="D183">
        <v>10</v>
      </c>
      <c r="E183" s="2">
        <v>45040</v>
      </c>
      <c r="F183" s="1">
        <v>124</v>
      </c>
      <c r="G183" s="1">
        <v>51</v>
      </c>
      <c r="H183" s="1" t="s">
        <v>15</v>
      </c>
      <c r="I183" s="1" t="s">
        <v>16</v>
      </c>
      <c r="J183" s="1" t="s">
        <v>34</v>
      </c>
      <c r="K183" s="1" t="s">
        <v>35</v>
      </c>
      <c r="L183" s="5" t="s">
        <v>26</v>
      </c>
      <c r="M183" s="1" t="s">
        <v>31</v>
      </c>
      <c r="N183" s="1" t="str">
        <f>YEAR(sales_data[[#This Row],[Date]]) &amp; "-" &amp; TEXT(MONTH(sales_data[[#This Row],[Date]]), "00")</f>
        <v>2023-04</v>
      </c>
      <c r="O183" s="1">
        <f xml:space="preserve"> (sales_data[[#This Row],[Sales]]* (100 - sales_data[[#This Row],[Discount]]))/100</f>
        <v>12238.630205980951</v>
      </c>
    </row>
    <row r="184" spans="1:15" x14ac:dyDescent="0.5">
      <c r="A184" s="1" t="s">
        <v>745</v>
      </c>
      <c r="B184" s="1" t="s">
        <v>50</v>
      </c>
      <c r="C184">
        <v>25151.4172701592</v>
      </c>
      <c r="D184">
        <v>10</v>
      </c>
      <c r="E184" s="2">
        <v>45040</v>
      </c>
      <c r="F184" s="1">
        <v>186</v>
      </c>
      <c r="G184" s="1">
        <v>76</v>
      </c>
      <c r="H184" s="1" t="s">
        <v>15</v>
      </c>
      <c r="I184" s="1" t="s">
        <v>33</v>
      </c>
      <c r="J184" s="1" t="s">
        <v>34</v>
      </c>
      <c r="K184" s="1" t="s">
        <v>35</v>
      </c>
      <c r="L184" s="5" t="s">
        <v>30</v>
      </c>
      <c r="M184" s="1" t="s">
        <v>27</v>
      </c>
      <c r="N184" s="1" t="str">
        <f>YEAR(sales_data[[#This Row],[Date]]) &amp; "-" &amp; TEXT(MONTH(sales_data[[#This Row],[Date]]), "00")</f>
        <v>2023-04</v>
      </c>
      <c r="O184" s="1">
        <f xml:space="preserve"> (sales_data[[#This Row],[Sales]]* (100 - sales_data[[#This Row],[Discount]]))/100</f>
        <v>22636.275543143278</v>
      </c>
    </row>
    <row r="185" spans="1:15" x14ac:dyDescent="0.5">
      <c r="A185" s="1" t="s">
        <v>109</v>
      </c>
      <c r="B185" s="1" t="s">
        <v>14</v>
      </c>
      <c r="C185">
        <v>19686.604513634102</v>
      </c>
      <c r="D185">
        <v>5</v>
      </c>
      <c r="E185" s="2">
        <v>45041</v>
      </c>
      <c r="F185" s="1">
        <v>124</v>
      </c>
      <c r="G185" s="1">
        <v>15</v>
      </c>
      <c r="H185" s="1" t="s">
        <v>15</v>
      </c>
      <c r="I185" s="1" t="s">
        <v>16</v>
      </c>
      <c r="J185" s="1" t="s">
        <v>17</v>
      </c>
      <c r="K185" s="1" t="s">
        <v>25</v>
      </c>
      <c r="L185" s="5" t="s">
        <v>19</v>
      </c>
      <c r="M185" s="1" t="s">
        <v>55</v>
      </c>
      <c r="N185" s="1" t="str">
        <f>YEAR(sales_data[[#This Row],[Date]]) &amp; "-" &amp; TEXT(MONTH(sales_data[[#This Row],[Date]]), "00")</f>
        <v>2023-04</v>
      </c>
      <c r="O185" s="1">
        <f xml:space="preserve"> (sales_data[[#This Row],[Sales]]* (100 - sales_data[[#This Row],[Discount]]))/100</f>
        <v>18702.274287952398</v>
      </c>
    </row>
    <row r="186" spans="1:15" x14ac:dyDescent="0.5">
      <c r="A186" s="1" t="s">
        <v>223</v>
      </c>
      <c r="B186" s="1" t="s">
        <v>29</v>
      </c>
      <c r="C186">
        <v>26006.069610819701</v>
      </c>
      <c r="D186">
        <v>15</v>
      </c>
      <c r="E186" s="2">
        <v>45041</v>
      </c>
      <c r="F186" s="1">
        <v>173</v>
      </c>
      <c r="G186" s="1">
        <v>28</v>
      </c>
      <c r="H186" s="1" t="s">
        <v>15</v>
      </c>
      <c r="I186" s="1" t="s">
        <v>23</v>
      </c>
      <c r="J186" s="1" t="s">
        <v>17</v>
      </c>
      <c r="K186" s="1" t="s">
        <v>35</v>
      </c>
      <c r="L186" s="5" t="s">
        <v>26</v>
      </c>
      <c r="M186" s="1" t="s">
        <v>41</v>
      </c>
      <c r="N186" s="1" t="str">
        <f>YEAR(sales_data[[#This Row],[Date]]) &amp; "-" &amp; TEXT(MONTH(sales_data[[#This Row],[Date]]), "00")</f>
        <v>2023-04</v>
      </c>
      <c r="O186" s="1">
        <f xml:space="preserve"> (sales_data[[#This Row],[Sales]]* (100 - sales_data[[#This Row],[Discount]]))/100</f>
        <v>22105.159169196748</v>
      </c>
    </row>
    <row r="187" spans="1:15" x14ac:dyDescent="0.5">
      <c r="A187" s="1" t="s">
        <v>225</v>
      </c>
      <c r="B187" s="1" t="s">
        <v>29</v>
      </c>
      <c r="C187">
        <v>9809.3773241107301</v>
      </c>
      <c r="D187">
        <v>5</v>
      </c>
      <c r="E187" s="2">
        <v>45041</v>
      </c>
      <c r="F187" s="1">
        <v>117</v>
      </c>
      <c r="G187" s="1">
        <v>41</v>
      </c>
      <c r="H187" s="1" t="s">
        <v>15</v>
      </c>
      <c r="I187" s="1" t="s">
        <v>23</v>
      </c>
      <c r="J187" s="1" t="s">
        <v>34</v>
      </c>
      <c r="K187" s="1" t="s">
        <v>18</v>
      </c>
      <c r="L187" s="5" t="s">
        <v>38</v>
      </c>
      <c r="M187" s="1" t="s">
        <v>55</v>
      </c>
      <c r="N187" s="1" t="str">
        <f>YEAR(sales_data[[#This Row],[Date]]) &amp; "-" &amp; TEXT(MONTH(sales_data[[#This Row],[Date]]), "00")</f>
        <v>2023-04</v>
      </c>
      <c r="O187" s="1">
        <f xml:space="preserve"> (sales_data[[#This Row],[Sales]]* (100 - sales_data[[#This Row],[Discount]]))/100</f>
        <v>9318.9084579051942</v>
      </c>
    </row>
    <row r="188" spans="1:15" x14ac:dyDescent="0.5">
      <c r="A188" s="1" t="s">
        <v>387</v>
      </c>
      <c r="B188" s="1" t="s">
        <v>14</v>
      </c>
      <c r="C188">
        <v>17301.201598453099</v>
      </c>
      <c r="D188">
        <v>5</v>
      </c>
      <c r="E188" s="2">
        <v>45041</v>
      </c>
      <c r="F188" s="1">
        <v>158</v>
      </c>
      <c r="G188" s="1">
        <v>54</v>
      </c>
      <c r="H188" s="1" t="s">
        <v>15</v>
      </c>
      <c r="I188" s="1" t="s">
        <v>33</v>
      </c>
      <c r="J188" s="1" t="s">
        <v>34</v>
      </c>
      <c r="K188" s="1" t="s">
        <v>25</v>
      </c>
      <c r="L188" s="5" t="s">
        <v>43</v>
      </c>
      <c r="M188" s="1" t="s">
        <v>31</v>
      </c>
      <c r="N188" s="1" t="str">
        <f>YEAR(sales_data[[#This Row],[Date]]) &amp; "-" &amp; TEXT(MONTH(sales_data[[#This Row],[Date]]), "00")</f>
        <v>2023-04</v>
      </c>
      <c r="O188" s="1">
        <f xml:space="preserve"> (sales_data[[#This Row],[Sales]]* (100 - sales_data[[#This Row],[Discount]]))/100</f>
        <v>16436.141518530447</v>
      </c>
    </row>
    <row r="189" spans="1:15" x14ac:dyDescent="0.5">
      <c r="A189" s="1" t="s">
        <v>807</v>
      </c>
      <c r="B189" s="1" t="s">
        <v>29</v>
      </c>
      <c r="C189">
        <v>27972.5253161248</v>
      </c>
      <c r="D189">
        <v>0</v>
      </c>
      <c r="E189" s="2">
        <v>45042</v>
      </c>
      <c r="F189" s="1">
        <v>105</v>
      </c>
      <c r="G189" s="1">
        <v>78</v>
      </c>
      <c r="H189" s="1" t="s">
        <v>15</v>
      </c>
      <c r="I189" s="1" t="s">
        <v>33</v>
      </c>
      <c r="J189" s="1" t="s">
        <v>24</v>
      </c>
      <c r="K189" s="1" t="s">
        <v>18</v>
      </c>
      <c r="L189" s="5" t="s">
        <v>36</v>
      </c>
      <c r="M189" s="1" t="s">
        <v>41</v>
      </c>
      <c r="N189" s="1" t="str">
        <f>YEAR(sales_data[[#This Row],[Date]]) &amp; "-" &amp; TEXT(MONTH(sales_data[[#This Row],[Date]]), "00")</f>
        <v>2023-04</v>
      </c>
      <c r="O189" s="1">
        <f xml:space="preserve"> (sales_data[[#This Row],[Sales]]* (100 - sales_data[[#This Row],[Discount]]))/100</f>
        <v>27972.5253161248</v>
      </c>
    </row>
    <row r="190" spans="1:15" x14ac:dyDescent="0.5">
      <c r="A190" s="1" t="s">
        <v>481</v>
      </c>
      <c r="B190" s="1" t="s">
        <v>22</v>
      </c>
      <c r="C190">
        <v>31494.490618096199</v>
      </c>
      <c r="D190">
        <v>0</v>
      </c>
      <c r="E190" s="2">
        <v>45045</v>
      </c>
      <c r="F190" s="1">
        <v>154</v>
      </c>
      <c r="G190" s="1">
        <v>80</v>
      </c>
      <c r="H190" s="1" t="s">
        <v>15</v>
      </c>
      <c r="I190" s="1" t="s">
        <v>16</v>
      </c>
      <c r="J190" s="1" t="s">
        <v>17</v>
      </c>
      <c r="K190" s="1" t="s">
        <v>25</v>
      </c>
      <c r="L190" s="5" t="s">
        <v>38</v>
      </c>
      <c r="M190" s="1" t="s">
        <v>41</v>
      </c>
      <c r="N190" s="1" t="str">
        <f>YEAR(sales_data[[#This Row],[Date]]) &amp; "-" &amp; TEXT(MONTH(sales_data[[#This Row],[Date]]), "00")</f>
        <v>2023-04</v>
      </c>
      <c r="O190" s="1">
        <f xml:space="preserve"> (sales_data[[#This Row],[Sales]]* (100 - sales_data[[#This Row],[Discount]]))/100</f>
        <v>31494.490618096199</v>
      </c>
    </row>
    <row r="191" spans="1:15" x14ac:dyDescent="0.5">
      <c r="A191" s="1" t="s">
        <v>413</v>
      </c>
      <c r="B191" s="1" t="s">
        <v>14</v>
      </c>
      <c r="C191">
        <v>15253.0055558402</v>
      </c>
      <c r="D191">
        <v>5</v>
      </c>
      <c r="E191" s="2">
        <v>45046</v>
      </c>
      <c r="F191" s="1">
        <v>156</v>
      </c>
      <c r="G191" s="1">
        <v>7</v>
      </c>
      <c r="H191" s="1" t="s">
        <v>15</v>
      </c>
      <c r="I191" s="1" t="s">
        <v>23</v>
      </c>
      <c r="J191" s="1" t="s">
        <v>17</v>
      </c>
      <c r="K191" s="1" t="s">
        <v>25</v>
      </c>
      <c r="L191" s="5" t="s">
        <v>30</v>
      </c>
      <c r="M191" s="1" t="s">
        <v>44</v>
      </c>
      <c r="N191" s="1" t="str">
        <f>YEAR(sales_data[[#This Row],[Date]]) &amp; "-" &amp; TEXT(MONTH(sales_data[[#This Row],[Date]]), "00")</f>
        <v>2023-04</v>
      </c>
      <c r="O191" s="1">
        <f xml:space="preserve"> (sales_data[[#This Row],[Sales]]* (100 - sales_data[[#This Row],[Discount]]))/100</f>
        <v>14490.35527804819</v>
      </c>
    </row>
    <row r="192" spans="1:15" x14ac:dyDescent="0.5">
      <c r="A192" s="1" t="s">
        <v>414</v>
      </c>
      <c r="B192" s="1" t="s">
        <v>14</v>
      </c>
      <c r="C192">
        <v>33161.910324186902</v>
      </c>
      <c r="D192">
        <v>10</v>
      </c>
      <c r="E192" s="2">
        <v>45048</v>
      </c>
      <c r="F192" s="1">
        <v>193</v>
      </c>
      <c r="G192" s="1">
        <v>61</v>
      </c>
      <c r="H192" s="1" t="s">
        <v>15</v>
      </c>
      <c r="I192" s="1" t="s">
        <v>33</v>
      </c>
      <c r="J192" s="1" t="s">
        <v>17</v>
      </c>
      <c r="K192" s="1" t="s">
        <v>25</v>
      </c>
      <c r="L192" s="5" t="s">
        <v>36</v>
      </c>
      <c r="M192" s="1" t="s">
        <v>41</v>
      </c>
      <c r="N192" s="1" t="str">
        <f>YEAR(sales_data[[#This Row],[Date]]) &amp; "-" &amp; TEXT(MONTH(sales_data[[#This Row],[Date]]), "00")</f>
        <v>2023-05</v>
      </c>
      <c r="O192" s="1">
        <f xml:space="preserve"> (sales_data[[#This Row],[Sales]]* (100 - sales_data[[#This Row],[Discount]]))/100</f>
        <v>29845.719291768215</v>
      </c>
    </row>
    <row r="193" spans="1:15" x14ac:dyDescent="0.5">
      <c r="A193" s="1" t="s">
        <v>460</v>
      </c>
      <c r="B193" s="1" t="s">
        <v>29</v>
      </c>
      <c r="C193">
        <v>17419.776358913099</v>
      </c>
      <c r="D193">
        <v>5</v>
      </c>
      <c r="E193" s="2">
        <v>45049</v>
      </c>
      <c r="F193" s="1">
        <v>160</v>
      </c>
      <c r="G193" s="1">
        <v>5</v>
      </c>
      <c r="H193" s="1" t="s">
        <v>15</v>
      </c>
      <c r="I193" s="1" t="s">
        <v>33</v>
      </c>
      <c r="J193" s="1" t="s">
        <v>34</v>
      </c>
      <c r="K193" s="1" t="s">
        <v>18</v>
      </c>
      <c r="L193" s="5" t="s">
        <v>54</v>
      </c>
      <c r="M193" s="1" t="s">
        <v>20</v>
      </c>
      <c r="N193" s="1" t="str">
        <f>YEAR(sales_data[[#This Row],[Date]]) &amp; "-" &amp; TEXT(MONTH(sales_data[[#This Row],[Date]]), "00")</f>
        <v>2023-05</v>
      </c>
      <c r="O193" s="1">
        <f xml:space="preserve"> (sales_data[[#This Row],[Sales]]* (100 - sales_data[[#This Row],[Discount]]))/100</f>
        <v>16548.787540967445</v>
      </c>
    </row>
    <row r="194" spans="1:15" x14ac:dyDescent="0.5">
      <c r="A194" s="1" t="s">
        <v>549</v>
      </c>
      <c r="B194" s="1" t="s">
        <v>14</v>
      </c>
      <c r="C194">
        <v>24102.410905986799</v>
      </c>
      <c r="D194">
        <v>0</v>
      </c>
      <c r="E194" s="2">
        <v>45049</v>
      </c>
      <c r="F194" s="1">
        <v>107</v>
      </c>
      <c r="G194" s="1">
        <v>26</v>
      </c>
      <c r="H194" s="1" t="s">
        <v>15</v>
      </c>
      <c r="I194" s="1" t="s">
        <v>16</v>
      </c>
      <c r="J194" s="1" t="s">
        <v>34</v>
      </c>
      <c r="K194" s="1" t="s">
        <v>35</v>
      </c>
      <c r="L194" s="5" t="s">
        <v>38</v>
      </c>
      <c r="M194" s="1" t="s">
        <v>27</v>
      </c>
      <c r="N194" s="1" t="str">
        <f>YEAR(sales_data[[#This Row],[Date]]) &amp; "-" &amp; TEXT(MONTH(sales_data[[#This Row],[Date]]), "00")</f>
        <v>2023-05</v>
      </c>
      <c r="O194" s="1">
        <f xml:space="preserve"> (sales_data[[#This Row],[Sales]]* (100 - sales_data[[#This Row],[Discount]]))/100</f>
        <v>24102.410905986802</v>
      </c>
    </row>
    <row r="195" spans="1:15" x14ac:dyDescent="0.5">
      <c r="A195" s="1" t="s">
        <v>610</v>
      </c>
      <c r="B195" s="1" t="s">
        <v>50</v>
      </c>
      <c r="C195">
        <v>21760.276982571399</v>
      </c>
      <c r="D195">
        <v>10</v>
      </c>
      <c r="E195" s="2">
        <v>45050</v>
      </c>
      <c r="F195" s="1">
        <v>147</v>
      </c>
      <c r="G195" s="1">
        <v>92</v>
      </c>
      <c r="H195" s="1" t="s">
        <v>15</v>
      </c>
      <c r="I195" s="1" t="s">
        <v>33</v>
      </c>
      <c r="J195" s="1" t="s">
        <v>24</v>
      </c>
      <c r="K195" s="1" t="s">
        <v>25</v>
      </c>
      <c r="L195" s="5" t="s">
        <v>58</v>
      </c>
      <c r="M195" s="1" t="s">
        <v>48</v>
      </c>
      <c r="N195" s="1" t="str">
        <f>YEAR(sales_data[[#This Row],[Date]]) &amp; "-" &amp; TEXT(MONTH(sales_data[[#This Row],[Date]]), "00")</f>
        <v>2023-05</v>
      </c>
      <c r="O195" s="1">
        <f xml:space="preserve"> (sales_data[[#This Row],[Sales]]* (100 - sales_data[[#This Row],[Discount]]))/100</f>
        <v>19584.249284314261</v>
      </c>
    </row>
    <row r="196" spans="1:15" x14ac:dyDescent="0.5">
      <c r="A196" s="1" t="s">
        <v>702</v>
      </c>
      <c r="B196" s="1" t="s">
        <v>14</v>
      </c>
      <c r="C196">
        <v>19807.4576524964</v>
      </c>
      <c r="D196">
        <v>0</v>
      </c>
      <c r="E196" s="2">
        <v>45050</v>
      </c>
      <c r="F196" s="1">
        <v>146</v>
      </c>
      <c r="G196" s="1">
        <v>10</v>
      </c>
      <c r="H196" s="1" t="s">
        <v>15</v>
      </c>
      <c r="I196" s="1" t="s">
        <v>23</v>
      </c>
      <c r="J196" s="1" t="s">
        <v>34</v>
      </c>
      <c r="K196" s="1" t="s">
        <v>18</v>
      </c>
      <c r="L196" s="5" t="s">
        <v>36</v>
      </c>
      <c r="M196" s="1" t="s">
        <v>48</v>
      </c>
      <c r="N196" s="1" t="str">
        <f>YEAR(sales_data[[#This Row],[Date]]) &amp; "-" &amp; TEXT(MONTH(sales_data[[#This Row],[Date]]), "00")</f>
        <v>2023-05</v>
      </c>
      <c r="O196" s="1">
        <f xml:space="preserve"> (sales_data[[#This Row],[Sales]]* (100 - sales_data[[#This Row],[Discount]]))/100</f>
        <v>19807.4576524964</v>
      </c>
    </row>
    <row r="197" spans="1:15" x14ac:dyDescent="0.5">
      <c r="A197" s="1" t="s">
        <v>523</v>
      </c>
      <c r="B197" s="1" t="s">
        <v>29</v>
      </c>
      <c r="C197">
        <v>16936.056547577999</v>
      </c>
      <c r="D197">
        <v>0</v>
      </c>
      <c r="E197" s="2">
        <v>45051</v>
      </c>
      <c r="F197" s="1">
        <v>158</v>
      </c>
      <c r="G197" s="1">
        <v>47</v>
      </c>
      <c r="H197" s="1" t="s">
        <v>15</v>
      </c>
      <c r="I197" s="1" t="s">
        <v>16</v>
      </c>
      <c r="J197" s="1" t="s">
        <v>24</v>
      </c>
      <c r="K197" s="1" t="s">
        <v>18</v>
      </c>
      <c r="L197" s="5" t="s">
        <v>46</v>
      </c>
      <c r="M197" s="1" t="s">
        <v>48</v>
      </c>
      <c r="N197" s="1" t="str">
        <f>YEAR(sales_data[[#This Row],[Date]]) &amp; "-" &amp; TEXT(MONTH(sales_data[[#This Row],[Date]]), "00")</f>
        <v>2023-05</v>
      </c>
      <c r="O197" s="1">
        <f xml:space="preserve"> (sales_data[[#This Row],[Sales]]* (100 - sales_data[[#This Row],[Discount]]))/100</f>
        <v>16936.056547577999</v>
      </c>
    </row>
    <row r="198" spans="1:15" x14ac:dyDescent="0.5">
      <c r="A198" s="1" t="s">
        <v>823</v>
      </c>
      <c r="B198" s="1" t="s">
        <v>22</v>
      </c>
      <c r="C198">
        <v>25112.852160048202</v>
      </c>
      <c r="D198">
        <v>0</v>
      </c>
      <c r="E198" s="2">
        <v>45051</v>
      </c>
      <c r="F198" s="1">
        <v>107</v>
      </c>
      <c r="G198" s="1">
        <v>68</v>
      </c>
      <c r="H198" s="1" t="s">
        <v>15</v>
      </c>
      <c r="I198" s="1" t="s">
        <v>16</v>
      </c>
      <c r="J198" s="1" t="s">
        <v>17</v>
      </c>
      <c r="K198" s="1" t="s">
        <v>25</v>
      </c>
      <c r="L198" s="5" t="s">
        <v>36</v>
      </c>
      <c r="M198" s="1" t="s">
        <v>48</v>
      </c>
      <c r="N198" s="1" t="str">
        <f>YEAR(sales_data[[#This Row],[Date]]) &amp; "-" &amp; TEXT(MONTH(sales_data[[#This Row],[Date]]), "00")</f>
        <v>2023-05</v>
      </c>
      <c r="O198" s="1">
        <f xml:space="preserve"> (sales_data[[#This Row],[Sales]]* (100 - sales_data[[#This Row],[Discount]]))/100</f>
        <v>25112.852160048202</v>
      </c>
    </row>
    <row r="199" spans="1:15" x14ac:dyDescent="0.5">
      <c r="A199" s="1" t="s">
        <v>920</v>
      </c>
      <c r="B199" s="1" t="s">
        <v>14</v>
      </c>
      <c r="C199">
        <v>0</v>
      </c>
      <c r="D199">
        <v>5</v>
      </c>
      <c r="E199" s="2">
        <v>45051</v>
      </c>
      <c r="F199" s="1">
        <v>190</v>
      </c>
      <c r="G199" s="1">
        <v>40</v>
      </c>
      <c r="H199" s="1" t="s">
        <v>15</v>
      </c>
      <c r="I199" s="1" t="s">
        <v>16</v>
      </c>
      <c r="J199" s="1" t="s">
        <v>34</v>
      </c>
      <c r="K199" s="1" t="s">
        <v>25</v>
      </c>
      <c r="L199" s="5" t="s">
        <v>38</v>
      </c>
      <c r="M199" s="1" t="s">
        <v>31</v>
      </c>
      <c r="N199" s="1" t="str">
        <f>YEAR(sales_data[[#This Row],[Date]]) &amp; "-" &amp; TEXT(MONTH(sales_data[[#This Row],[Date]]), "00")</f>
        <v>2023-05</v>
      </c>
      <c r="O199" s="1">
        <f xml:space="preserve"> (sales_data[[#This Row],[Sales]]* (100 - sales_data[[#This Row],[Discount]]))/100</f>
        <v>0</v>
      </c>
    </row>
    <row r="200" spans="1:15" x14ac:dyDescent="0.5">
      <c r="A200" s="1" t="s">
        <v>300</v>
      </c>
      <c r="B200" s="1" t="s">
        <v>14</v>
      </c>
      <c r="C200">
        <v>28345.107626446901</v>
      </c>
      <c r="D200">
        <v>15</v>
      </c>
      <c r="E200" s="2">
        <v>45053</v>
      </c>
      <c r="F200" s="1">
        <v>167</v>
      </c>
      <c r="G200" s="1">
        <v>68</v>
      </c>
      <c r="H200" s="1" t="s">
        <v>15</v>
      </c>
      <c r="I200" s="1" t="s">
        <v>23</v>
      </c>
      <c r="J200" s="1" t="s">
        <v>34</v>
      </c>
      <c r="K200" s="1" t="s">
        <v>18</v>
      </c>
      <c r="L200" s="5" t="s">
        <v>30</v>
      </c>
      <c r="M200" s="1" t="s">
        <v>31</v>
      </c>
      <c r="N200" s="1" t="str">
        <f>YEAR(sales_data[[#This Row],[Date]]) &amp; "-" &amp; TEXT(MONTH(sales_data[[#This Row],[Date]]), "00")</f>
        <v>2023-05</v>
      </c>
      <c r="O200" s="1">
        <f xml:space="preserve"> (sales_data[[#This Row],[Sales]]* (100 - sales_data[[#This Row],[Discount]]))/100</f>
        <v>24093.341482479867</v>
      </c>
    </row>
    <row r="201" spans="1:15" x14ac:dyDescent="0.5">
      <c r="A201" s="1" t="s">
        <v>813</v>
      </c>
      <c r="B201" s="1" t="s">
        <v>40</v>
      </c>
      <c r="C201">
        <v>28210.0758006818</v>
      </c>
      <c r="D201">
        <v>0</v>
      </c>
      <c r="E201" s="2">
        <v>45053</v>
      </c>
      <c r="F201" s="1">
        <v>177</v>
      </c>
      <c r="G201" s="1">
        <v>79</v>
      </c>
      <c r="H201" s="1" t="s">
        <v>15</v>
      </c>
      <c r="I201" s="1" t="s">
        <v>16</v>
      </c>
      <c r="J201" s="1" t="s">
        <v>34</v>
      </c>
      <c r="K201" s="1" t="s">
        <v>35</v>
      </c>
      <c r="L201" s="5" t="s">
        <v>85</v>
      </c>
      <c r="M201" s="1" t="s">
        <v>44</v>
      </c>
      <c r="N201" s="1" t="str">
        <f>YEAR(sales_data[[#This Row],[Date]]) &amp; "-" &amp; TEXT(MONTH(sales_data[[#This Row],[Date]]), "00")</f>
        <v>2023-05</v>
      </c>
      <c r="O201" s="1">
        <f xml:space="preserve"> (sales_data[[#This Row],[Sales]]* (100 - sales_data[[#This Row],[Discount]]))/100</f>
        <v>28210.0758006818</v>
      </c>
    </row>
    <row r="202" spans="1:15" x14ac:dyDescent="0.5">
      <c r="A202" s="1" t="s">
        <v>835</v>
      </c>
      <c r="B202" s="1" t="s">
        <v>50</v>
      </c>
      <c r="C202">
        <v>0</v>
      </c>
      <c r="D202">
        <v>15</v>
      </c>
      <c r="E202" s="2">
        <v>45054</v>
      </c>
      <c r="F202" s="1">
        <v>115</v>
      </c>
      <c r="G202" s="1">
        <v>83</v>
      </c>
      <c r="H202" s="1" t="s">
        <v>15</v>
      </c>
      <c r="I202" s="1" t="s">
        <v>33</v>
      </c>
      <c r="J202" s="1" t="s">
        <v>34</v>
      </c>
      <c r="K202" s="1" t="s">
        <v>18</v>
      </c>
      <c r="L202" s="5" t="s">
        <v>54</v>
      </c>
      <c r="M202" s="1" t="s">
        <v>55</v>
      </c>
      <c r="N202" s="1" t="str">
        <f>YEAR(sales_data[[#This Row],[Date]]) &amp; "-" &amp; TEXT(MONTH(sales_data[[#This Row],[Date]]), "00")</f>
        <v>2023-05</v>
      </c>
      <c r="O202" s="1">
        <f xml:space="preserve"> (sales_data[[#This Row],[Sales]]* (100 - sales_data[[#This Row],[Discount]]))/100</f>
        <v>0</v>
      </c>
    </row>
    <row r="203" spans="1:15" x14ac:dyDescent="0.5">
      <c r="A203" s="1" t="s">
        <v>913</v>
      </c>
      <c r="B203" s="1" t="s">
        <v>14</v>
      </c>
      <c r="C203">
        <v>26138.344962366398</v>
      </c>
      <c r="D203">
        <v>10</v>
      </c>
      <c r="E203" s="2">
        <v>45054</v>
      </c>
      <c r="F203" s="1">
        <v>170</v>
      </c>
      <c r="G203" s="1">
        <v>49</v>
      </c>
      <c r="H203" s="1" t="s">
        <v>15</v>
      </c>
      <c r="I203" s="1" t="s">
        <v>23</v>
      </c>
      <c r="J203" s="1" t="s">
        <v>24</v>
      </c>
      <c r="K203" s="1" t="s">
        <v>18</v>
      </c>
      <c r="L203" s="5" t="s">
        <v>26</v>
      </c>
      <c r="M203" s="1" t="s">
        <v>20</v>
      </c>
      <c r="N203" s="1" t="str">
        <f>YEAR(sales_data[[#This Row],[Date]]) &amp; "-" &amp; TEXT(MONTH(sales_data[[#This Row],[Date]]), "00")</f>
        <v>2023-05</v>
      </c>
      <c r="O203" s="1">
        <f xml:space="preserve"> (sales_data[[#This Row],[Sales]]* (100 - sales_data[[#This Row],[Discount]]))/100</f>
        <v>23524.510466129756</v>
      </c>
    </row>
    <row r="204" spans="1:15" x14ac:dyDescent="0.5">
      <c r="A204" s="1" t="s">
        <v>605</v>
      </c>
      <c r="B204" s="1" t="s">
        <v>22</v>
      </c>
      <c r="C204">
        <v>12372.3741453763</v>
      </c>
      <c r="D204">
        <v>0</v>
      </c>
      <c r="E204" s="2">
        <v>45055</v>
      </c>
      <c r="F204" s="1">
        <v>182</v>
      </c>
      <c r="G204" s="1">
        <v>6</v>
      </c>
      <c r="H204" s="1" t="s">
        <v>38</v>
      </c>
      <c r="I204" s="1" t="s">
        <v>33</v>
      </c>
      <c r="J204" s="1" t="s">
        <v>24</v>
      </c>
      <c r="K204" s="1" t="s">
        <v>25</v>
      </c>
      <c r="L204" s="5" t="s">
        <v>54</v>
      </c>
      <c r="M204" s="1" t="s">
        <v>27</v>
      </c>
      <c r="N204" s="1" t="str">
        <f>YEAR(sales_data[[#This Row],[Date]]) &amp; "-" &amp; TEXT(MONTH(sales_data[[#This Row],[Date]]), "00")</f>
        <v>2023-05</v>
      </c>
      <c r="O204" s="1">
        <f xml:space="preserve"> (sales_data[[#This Row],[Sales]]* (100 - sales_data[[#This Row],[Discount]]))/100</f>
        <v>12372.3741453763</v>
      </c>
    </row>
    <row r="205" spans="1:15" x14ac:dyDescent="0.5">
      <c r="A205" s="1" t="s">
        <v>922</v>
      </c>
      <c r="B205" s="1" t="s">
        <v>50</v>
      </c>
      <c r="C205">
        <v>15396.632034603101</v>
      </c>
      <c r="D205">
        <v>5</v>
      </c>
      <c r="E205" s="2">
        <v>45055</v>
      </c>
      <c r="F205" s="1">
        <v>177</v>
      </c>
      <c r="G205" s="1">
        <v>22</v>
      </c>
      <c r="H205" s="1" t="s">
        <v>15</v>
      </c>
      <c r="I205" s="1" t="s">
        <v>23</v>
      </c>
      <c r="J205" s="1" t="s">
        <v>17</v>
      </c>
      <c r="K205" s="1" t="s">
        <v>25</v>
      </c>
      <c r="L205" s="5" t="s">
        <v>26</v>
      </c>
      <c r="M205" s="1" t="s">
        <v>20</v>
      </c>
      <c r="N205" s="1" t="str">
        <f>YEAR(sales_data[[#This Row],[Date]]) &amp; "-" &amp; TEXT(MONTH(sales_data[[#This Row],[Date]]), "00")</f>
        <v>2023-05</v>
      </c>
      <c r="O205" s="1">
        <f xml:space="preserve"> (sales_data[[#This Row],[Sales]]* (100 - sales_data[[#This Row],[Discount]]))/100</f>
        <v>14626.800432872944</v>
      </c>
    </row>
    <row r="206" spans="1:15" x14ac:dyDescent="0.5">
      <c r="A206" s="1" t="s">
        <v>76</v>
      </c>
      <c r="B206" s="1" t="s">
        <v>22</v>
      </c>
      <c r="C206">
        <v>25896.485920319101</v>
      </c>
      <c r="D206">
        <v>10</v>
      </c>
      <c r="E206" s="2">
        <v>45056</v>
      </c>
      <c r="F206" s="1">
        <v>116</v>
      </c>
      <c r="G206" s="1">
        <v>88</v>
      </c>
      <c r="H206" s="1" t="s">
        <v>15</v>
      </c>
      <c r="I206" s="1" t="s">
        <v>23</v>
      </c>
      <c r="J206" s="1" t="s">
        <v>24</v>
      </c>
      <c r="K206" s="1" t="s">
        <v>35</v>
      </c>
      <c r="L206" s="5" t="s">
        <v>43</v>
      </c>
      <c r="M206" s="1" t="s">
        <v>41</v>
      </c>
      <c r="N206" s="1" t="str">
        <f>YEAR(sales_data[[#This Row],[Date]]) &amp; "-" &amp; TEXT(MONTH(sales_data[[#This Row],[Date]]), "00")</f>
        <v>2023-05</v>
      </c>
      <c r="O206" s="1">
        <f xml:space="preserve"> (sales_data[[#This Row],[Sales]]* (100 - sales_data[[#This Row],[Discount]]))/100</f>
        <v>23306.837328287191</v>
      </c>
    </row>
    <row r="207" spans="1:15" x14ac:dyDescent="0.5">
      <c r="A207" s="1" t="s">
        <v>376</v>
      </c>
      <c r="B207" s="1" t="s">
        <v>29</v>
      </c>
      <c r="C207">
        <v>20751.508807309299</v>
      </c>
      <c r="D207">
        <v>5</v>
      </c>
      <c r="E207" s="2">
        <v>45056</v>
      </c>
      <c r="F207" s="1">
        <v>171</v>
      </c>
      <c r="G207" s="1">
        <v>91</v>
      </c>
      <c r="H207" s="1" t="s">
        <v>15</v>
      </c>
      <c r="I207" s="1" t="s">
        <v>16</v>
      </c>
      <c r="J207" s="1" t="s">
        <v>34</v>
      </c>
      <c r="K207" s="1" t="s">
        <v>35</v>
      </c>
      <c r="L207" s="5" t="s">
        <v>38</v>
      </c>
      <c r="M207" s="1" t="s">
        <v>31</v>
      </c>
      <c r="N207" s="1" t="str">
        <f>YEAR(sales_data[[#This Row],[Date]]) &amp; "-" &amp; TEXT(MONTH(sales_data[[#This Row],[Date]]), "00")</f>
        <v>2023-05</v>
      </c>
      <c r="O207" s="1">
        <f xml:space="preserve"> (sales_data[[#This Row],[Sales]]* (100 - sales_data[[#This Row],[Discount]]))/100</f>
        <v>19713.933366943835</v>
      </c>
    </row>
    <row r="208" spans="1:15" x14ac:dyDescent="0.5">
      <c r="A208" s="1" t="s">
        <v>798</v>
      </c>
      <c r="B208" s="1" t="s">
        <v>50</v>
      </c>
      <c r="C208">
        <v>23505.863711554401</v>
      </c>
      <c r="D208">
        <v>5</v>
      </c>
      <c r="E208" s="2">
        <v>45056</v>
      </c>
      <c r="F208" s="1">
        <v>137</v>
      </c>
      <c r="G208" s="1">
        <v>21</v>
      </c>
      <c r="H208" s="1" t="s">
        <v>15</v>
      </c>
      <c r="I208" s="1" t="s">
        <v>16</v>
      </c>
      <c r="J208" s="1" t="s">
        <v>17</v>
      </c>
      <c r="K208" s="1" t="s">
        <v>18</v>
      </c>
      <c r="L208" s="5" t="s">
        <v>30</v>
      </c>
      <c r="M208" s="1" t="s">
        <v>41</v>
      </c>
      <c r="N208" s="1" t="str">
        <f>YEAR(sales_data[[#This Row],[Date]]) &amp; "-" &amp; TEXT(MONTH(sales_data[[#This Row],[Date]]), "00")</f>
        <v>2023-05</v>
      </c>
      <c r="O208" s="1">
        <f xml:space="preserve"> (sales_data[[#This Row],[Sales]]* (100 - sales_data[[#This Row],[Discount]]))/100</f>
        <v>22330.57052597668</v>
      </c>
    </row>
    <row r="209" spans="1:15" x14ac:dyDescent="0.5">
      <c r="A209" s="1" t="s">
        <v>825</v>
      </c>
      <c r="B209" s="1" t="s">
        <v>29</v>
      </c>
      <c r="C209">
        <v>26921.3640925525</v>
      </c>
      <c r="D209">
        <v>15</v>
      </c>
      <c r="E209" s="2">
        <v>45056</v>
      </c>
      <c r="F209" s="1">
        <v>132</v>
      </c>
      <c r="G209" s="1">
        <v>29</v>
      </c>
      <c r="H209" s="1" t="s">
        <v>15</v>
      </c>
      <c r="I209" s="1" t="s">
        <v>16</v>
      </c>
      <c r="J209" s="1" t="s">
        <v>24</v>
      </c>
      <c r="K209" s="1" t="s">
        <v>18</v>
      </c>
      <c r="L209" s="5" t="s">
        <v>30</v>
      </c>
      <c r="M209" s="1" t="s">
        <v>41</v>
      </c>
      <c r="N209" s="1" t="str">
        <f>YEAR(sales_data[[#This Row],[Date]]) &amp; "-" &amp; TEXT(MONTH(sales_data[[#This Row],[Date]]), "00")</f>
        <v>2023-05</v>
      </c>
      <c r="O209" s="1">
        <f xml:space="preserve"> (sales_data[[#This Row],[Sales]]* (100 - sales_data[[#This Row],[Discount]]))/100</f>
        <v>22883.159478669622</v>
      </c>
    </row>
    <row r="210" spans="1:15" x14ac:dyDescent="0.5">
      <c r="A210" s="1" t="s">
        <v>650</v>
      </c>
      <c r="B210" s="1" t="s">
        <v>14</v>
      </c>
      <c r="C210">
        <v>9791.3256578785404</v>
      </c>
      <c r="D210">
        <v>15</v>
      </c>
      <c r="E210" s="2">
        <v>45057</v>
      </c>
      <c r="F210" s="1">
        <v>153</v>
      </c>
      <c r="G210" s="1">
        <v>25</v>
      </c>
      <c r="H210" s="1" t="s">
        <v>15</v>
      </c>
      <c r="I210" s="1" t="s">
        <v>33</v>
      </c>
      <c r="J210" s="1" t="s">
        <v>34</v>
      </c>
      <c r="K210" s="1" t="s">
        <v>25</v>
      </c>
      <c r="L210" s="5" t="s">
        <v>19</v>
      </c>
      <c r="M210" s="1" t="s">
        <v>44</v>
      </c>
      <c r="N210" s="1" t="str">
        <f>YEAR(sales_data[[#This Row],[Date]]) &amp; "-" &amp; TEXT(MONTH(sales_data[[#This Row],[Date]]), "00")</f>
        <v>2023-05</v>
      </c>
      <c r="O210" s="1">
        <f xml:space="preserve"> (sales_data[[#This Row],[Sales]]* (100 - sales_data[[#This Row],[Discount]]))/100</f>
        <v>8322.6268091967595</v>
      </c>
    </row>
    <row r="211" spans="1:15" x14ac:dyDescent="0.5">
      <c r="A211" s="1" t="s">
        <v>332</v>
      </c>
      <c r="B211" s="1" t="s">
        <v>29</v>
      </c>
      <c r="C211">
        <v>18142.795670021002</v>
      </c>
      <c r="D211">
        <v>5</v>
      </c>
      <c r="E211" s="2">
        <v>45059</v>
      </c>
      <c r="F211" s="1">
        <v>111</v>
      </c>
      <c r="G211" s="1">
        <v>92</v>
      </c>
      <c r="H211" s="1" t="s">
        <v>15</v>
      </c>
      <c r="I211" s="1" t="s">
        <v>33</v>
      </c>
      <c r="J211" s="1" t="s">
        <v>24</v>
      </c>
      <c r="K211" s="1" t="s">
        <v>18</v>
      </c>
      <c r="L211" s="5" t="s">
        <v>19</v>
      </c>
      <c r="M211" s="1" t="s">
        <v>48</v>
      </c>
      <c r="N211" s="1" t="str">
        <f>YEAR(sales_data[[#This Row],[Date]]) &amp; "-" &amp; TEXT(MONTH(sales_data[[#This Row],[Date]]), "00")</f>
        <v>2023-05</v>
      </c>
      <c r="O211" s="1">
        <f xml:space="preserve"> (sales_data[[#This Row],[Sales]]* (100 - sales_data[[#This Row],[Discount]]))/100</f>
        <v>17235.655886519951</v>
      </c>
    </row>
    <row r="212" spans="1:15" x14ac:dyDescent="0.5">
      <c r="A212" s="1" t="s">
        <v>353</v>
      </c>
      <c r="B212" s="1" t="s">
        <v>22</v>
      </c>
      <c r="C212">
        <v>22965.506289841898</v>
      </c>
      <c r="D212">
        <v>10</v>
      </c>
      <c r="E212" s="2">
        <v>45059</v>
      </c>
      <c r="F212" s="1">
        <v>174</v>
      </c>
      <c r="G212" s="1">
        <v>61</v>
      </c>
      <c r="H212" s="1" t="s">
        <v>15</v>
      </c>
      <c r="I212" s="1" t="s">
        <v>23</v>
      </c>
      <c r="J212" s="1" t="s">
        <v>24</v>
      </c>
      <c r="K212" s="1" t="s">
        <v>18</v>
      </c>
      <c r="L212" s="5" t="s">
        <v>36</v>
      </c>
      <c r="M212" s="1" t="s">
        <v>27</v>
      </c>
      <c r="N212" s="1" t="str">
        <f>YEAR(sales_data[[#This Row],[Date]]) &amp; "-" &amp; TEXT(MONTH(sales_data[[#This Row],[Date]]), "00")</f>
        <v>2023-05</v>
      </c>
      <c r="O212" s="1">
        <f xml:space="preserve"> (sales_data[[#This Row],[Sales]]* (100 - sales_data[[#This Row],[Discount]]))/100</f>
        <v>20668.955660857708</v>
      </c>
    </row>
    <row r="213" spans="1:15" x14ac:dyDescent="0.5">
      <c r="A213" s="1" t="s">
        <v>477</v>
      </c>
      <c r="B213" s="1" t="s">
        <v>29</v>
      </c>
      <c r="C213">
        <v>20411.4199463771</v>
      </c>
      <c r="D213">
        <v>0</v>
      </c>
      <c r="E213" s="2">
        <v>45059</v>
      </c>
      <c r="F213" s="1">
        <v>166</v>
      </c>
      <c r="G213" s="1">
        <v>87</v>
      </c>
      <c r="H213" s="1" t="s">
        <v>15</v>
      </c>
      <c r="I213" s="1" t="s">
        <v>23</v>
      </c>
      <c r="J213" s="1" t="s">
        <v>24</v>
      </c>
      <c r="K213" s="1" t="s">
        <v>35</v>
      </c>
      <c r="L213" s="5" t="s">
        <v>85</v>
      </c>
      <c r="M213" s="1" t="s">
        <v>48</v>
      </c>
      <c r="N213" s="1" t="str">
        <f>YEAR(sales_data[[#This Row],[Date]]) &amp; "-" &amp; TEXT(MONTH(sales_data[[#This Row],[Date]]), "00")</f>
        <v>2023-05</v>
      </c>
      <c r="O213" s="1">
        <f xml:space="preserve"> (sales_data[[#This Row],[Sales]]* (100 - sales_data[[#This Row],[Discount]]))/100</f>
        <v>20411.4199463771</v>
      </c>
    </row>
    <row r="214" spans="1:15" x14ac:dyDescent="0.5">
      <c r="A214" s="1" t="s">
        <v>874</v>
      </c>
      <c r="B214" s="1" t="s">
        <v>22</v>
      </c>
      <c r="C214">
        <v>0</v>
      </c>
      <c r="D214">
        <v>15</v>
      </c>
      <c r="E214" s="2">
        <v>45059</v>
      </c>
      <c r="F214" s="1">
        <v>158</v>
      </c>
      <c r="G214" s="1">
        <v>54</v>
      </c>
      <c r="H214" s="1" t="s">
        <v>15</v>
      </c>
      <c r="I214" s="1" t="s">
        <v>23</v>
      </c>
      <c r="J214" s="1" t="s">
        <v>24</v>
      </c>
      <c r="K214" s="1" t="s">
        <v>18</v>
      </c>
      <c r="L214" s="5" t="s">
        <v>54</v>
      </c>
      <c r="M214" s="1" t="s">
        <v>27</v>
      </c>
      <c r="N214" s="1" t="str">
        <f>YEAR(sales_data[[#This Row],[Date]]) &amp; "-" &amp; TEXT(MONTH(sales_data[[#This Row],[Date]]), "00")</f>
        <v>2023-05</v>
      </c>
      <c r="O214" s="1">
        <f xml:space="preserve"> (sales_data[[#This Row],[Sales]]* (100 - sales_data[[#This Row],[Discount]]))/100</f>
        <v>0</v>
      </c>
    </row>
    <row r="215" spans="1:15" x14ac:dyDescent="0.5">
      <c r="A215" s="1" t="s">
        <v>86</v>
      </c>
      <c r="B215" s="1" t="s">
        <v>14</v>
      </c>
      <c r="C215">
        <v>23430.257299992099</v>
      </c>
      <c r="D215">
        <v>15</v>
      </c>
      <c r="E215" s="2">
        <v>45060</v>
      </c>
      <c r="F215" s="1">
        <v>112</v>
      </c>
      <c r="G215" s="1">
        <v>57</v>
      </c>
      <c r="H215" s="1" t="s">
        <v>38</v>
      </c>
      <c r="I215" s="1" t="s">
        <v>33</v>
      </c>
      <c r="J215" s="1" t="s">
        <v>17</v>
      </c>
      <c r="K215" s="1" t="s">
        <v>35</v>
      </c>
      <c r="L215" s="5" t="s">
        <v>46</v>
      </c>
      <c r="M215" s="1" t="s">
        <v>48</v>
      </c>
      <c r="N215" s="1" t="str">
        <f>YEAR(sales_data[[#This Row],[Date]]) &amp; "-" &amp; TEXT(MONTH(sales_data[[#This Row],[Date]]), "00")</f>
        <v>2023-05</v>
      </c>
      <c r="O215" s="1">
        <f xml:space="preserve"> (sales_data[[#This Row],[Sales]]* (100 - sales_data[[#This Row],[Discount]]))/100</f>
        <v>19915.718704993284</v>
      </c>
    </row>
    <row r="216" spans="1:15" x14ac:dyDescent="0.5">
      <c r="A216" s="1" t="s">
        <v>865</v>
      </c>
      <c r="B216" s="1" t="s">
        <v>14</v>
      </c>
      <c r="C216">
        <v>16490.041560966201</v>
      </c>
      <c r="D216">
        <v>10</v>
      </c>
      <c r="E216" s="2">
        <v>45060</v>
      </c>
      <c r="F216" s="1">
        <v>107</v>
      </c>
      <c r="G216" s="1">
        <v>87</v>
      </c>
      <c r="H216" s="1" t="s">
        <v>15</v>
      </c>
      <c r="I216" s="1" t="s">
        <v>33</v>
      </c>
      <c r="J216" s="1" t="s">
        <v>17</v>
      </c>
      <c r="K216" s="1" t="s">
        <v>25</v>
      </c>
      <c r="L216" s="5" t="s">
        <v>43</v>
      </c>
      <c r="M216" s="1" t="s">
        <v>31</v>
      </c>
      <c r="N216" s="1" t="str">
        <f>YEAR(sales_data[[#This Row],[Date]]) &amp; "-" &amp; TEXT(MONTH(sales_data[[#This Row],[Date]]), "00")</f>
        <v>2023-05</v>
      </c>
      <c r="O216" s="1">
        <f xml:space="preserve"> (sales_data[[#This Row],[Sales]]* (100 - sales_data[[#This Row],[Discount]]))/100</f>
        <v>14841.037404869581</v>
      </c>
    </row>
    <row r="217" spans="1:15" x14ac:dyDescent="0.5">
      <c r="A217" s="1" t="s">
        <v>445</v>
      </c>
      <c r="B217" s="1" t="s">
        <v>22</v>
      </c>
      <c r="C217">
        <v>24169.610772744501</v>
      </c>
      <c r="D217">
        <v>15</v>
      </c>
      <c r="E217" s="2">
        <v>45061</v>
      </c>
      <c r="F217" s="1">
        <v>177</v>
      </c>
      <c r="G217" s="1">
        <v>27</v>
      </c>
      <c r="H217" s="1" t="s">
        <v>15</v>
      </c>
      <c r="I217" s="1" t="s">
        <v>33</v>
      </c>
      <c r="J217" s="1" t="s">
        <v>24</v>
      </c>
      <c r="K217" s="1" t="s">
        <v>25</v>
      </c>
      <c r="L217" s="5" t="s">
        <v>38</v>
      </c>
      <c r="M217" s="1" t="s">
        <v>44</v>
      </c>
      <c r="N217" s="1" t="str">
        <f>YEAR(sales_data[[#This Row],[Date]]) &amp; "-" &amp; TEXT(MONTH(sales_data[[#This Row],[Date]]), "00")</f>
        <v>2023-05</v>
      </c>
      <c r="O217" s="1">
        <f xml:space="preserve"> (sales_data[[#This Row],[Sales]]* (100 - sales_data[[#This Row],[Discount]]))/100</f>
        <v>20544.169156832824</v>
      </c>
    </row>
    <row r="218" spans="1:15" x14ac:dyDescent="0.5">
      <c r="A218" s="1" t="s">
        <v>108</v>
      </c>
      <c r="B218" s="1" t="s">
        <v>29</v>
      </c>
      <c r="C218">
        <v>14703.932390555199</v>
      </c>
      <c r="D218">
        <v>0</v>
      </c>
      <c r="E218" s="2">
        <v>45062</v>
      </c>
      <c r="F218" s="1">
        <v>107</v>
      </c>
      <c r="G218" s="1">
        <v>90</v>
      </c>
      <c r="H218" s="1" t="s">
        <v>15</v>
      </c>
      <c r="I218" s="1" t="s">
        <v>33</v>
      </c>
      <c r="J218" s="1" t="s">
        <v>34</v>
      </c>
      <c r="K218" s="1" t="s">
        <v>25</v>
      </c>
      <c r="L218" s="5" t="s">
        <v>19</v>
      </c>
      <c r="M218" s="1" t="s">
        <v>20</v>
      </c>
      <c r="N218" s="1" t="str">
        <f>YEAR(sales_data[[#This Row],[Date]]) &amp; "-" &amp; TEXT(MONTH(sales_data[[#This Row],[Date]]), "00")</f>
        <v>2023-05</v>
      </c>
      <c r="O218" s="1">
        <f xml:space="preserve"> (sales_data[[#This Row],[Sales]]* (100 - sales_data[[#This Row],[Discount]]))/100</f>
        <v>14703.932390555199</v>
      </c>
    </row>
    <row r="219" spans="1:15" x14ac:dyDescent="0.5">
      <c r="A219" s="1" t="s">
        <v>489</v>
      </c>
      <c r="B219" s="1" t="s">
        <v>22</v>
      </c>
      <c r="C219">
        <v>13277.747444828599</v>
      </c>
      <c r="D219">
        <v>0</v>
      </c>
      <c r="E219" s="2">
        <v>45062</v>
      </c>
      <c r="F219" s="1">
        <v>152</v>
      </c>
      <c r="G219" s="1">
        <v>87</v>
      </c>
      <c r="H219" s="1" t="s">
        <v>15</v>
      </c>
      <c r="I219" s="1" t="s">
        <v>33</v>
      </c>
      <c r="J219" s="1" t="s">
        <v>17</v>
      </c>
      <c r="K219" s="1" t="s">
        <v>18</v>
      </c>
      <c r="L219" s="5" t="s">
        <v>38</v>
      </c>
      <c r="M219" s="1" t="s">
        <v>27</v>
      </c>
      <c r="N219" s="1" t="str">
        <f>YEAR(sales_data[[#This Row],[Date]]) &amp; "-" &amp; TEXT(MONTH(sales_data[[#This Row],[Date]]), "00")</f>
        <v>2023-05</v>
      </c>
      <c r="O219" s="1">
        <f xml:space="preserve"> (sales_data[[#This Row],[Sales]]* (100 - sales_data[[#This Row],[Discount]]))/100</f>
        <v>13277.747444828599</v>
      </c>
    </row>
    <row r="220" spans="1:15" x14ac:dyDescent="0.5">
      <c r="A220" s="1" t="s">
        <v>117</v>
      </c>
      <c r="B220" s="1" t="s">
        <v>29</v>
      </c>
      <c r="C220">
        <v>17231.753473264002</v>
      </c>
      <c r="D220">
        <v>10</v>
      </c>
      <c r="E220" s="2">
        <v>45063</v>
      </c>
      <c r="F220" s="1">
        <v>146</v>
      </c>
      <c r="G220" s="1">
        <v>78</v>
      </c>
      <c r="H220" s="1" t="s">
        <v>15</v>
      </c>
      <c r="I220" s="1" t="s">
        <v>33</v>
      </c>
      <c r="J220" s="1" t="s">
        <v>34</v>
      </c>
      <c r="K220" s="1" t="s">
        <v>35</v>
      </c>
      <c r="L220" s="5" t="s">
        <v>58</v>
      </c>
      <c r="M220" s="1" t="s">
        <v>48</v>
      </c>
      <c r="N220" s="1" t="str">
        <f>YEAR(sales_data[[#This Row],[Date]]) &amp; "-" &amp; TEXT(MONTH(sales_data[[#This Row],[Date]]), "00")</f>
        <v>2023-05</v>
      </c>
      <c r="O220" s="1">
        <f xml:space="preserve"> (sales_data[[#This Row],[Sales]]* (100 - sales_data[[#This Row],[Discount]]))/100</f>
        <v>15508.578125937602</v>
      </c>
    </row>
    <row r="221" spans="1:15" x14ac:dyDescent="0.5">
      <c r="A221" s="1" t="s">
        <v>230</v>
      </c>
      <c r="B221" s="1" t="s">
        <v>29</v>
      </c>
      <c r="C221">
        <v>28382.186561376398</v>
      </c>
      <c r="D221">
        <v>10</v>
      </c>
      <c r="E221" s="2">
        <v>45063</v>
      </c>
      <c r="F221" s="1">
        <v>190</v>
      </c>
      <c r="G221" s="1">
        <v>41</v>
      </c>
      <c r="H221" s="1" t="s">
        <v>15</v>
      </c>
      <c r="I221" s="1" t="s">
        <v>16</v>
      </c>
      <c r="J221" s="1" t="s">
        <v>17</v>
      </c>
      <c r="K221" s="1" t="s">
        <v>18</v>
      </c>
      <c r="L221" s="5" t="s">
        <v>36</v>
      </c>
      <c r="M221" s="1" t="s">
        <v>44</v>
      </c>
      <c r="N221" s="1" t="str">
        <f>YEAR(sales_data[[#This Row],[Date]]) &amp; "-" &amp; TEXT(MONTH(sales_data[[#This Row],[Date]]), "00")</f>
        <v>2023-05</v>
      </c>
      <c r="O221" s="1">
        <f xml:space="preserve"> (sales_data[[#This Row],[Sales]]* (100 - sales_data[[#This Row],[Discount]]))/100</f>
        <v>25543.967905238758</v>
      </c>
    </row>
    <row r="222" spans="1:15" x14ac:dyDescent="0.5">
      <c r="A222" s="1" t="s">
        <v>416</v>
      </c>
      <c r="B222" s="1" t="s">
        <v>22</v>
      </c>
      <c r="C222">
        <v>20924.1806184743</v>
      </c>
      <c r="D222">
        <v>10</v>
      </c>
      <c r="E222" s="2">
        <v>45063</v>
      </c>
      <c r="F222" s="1">
        <v>134</v>
      </c>
      <c r="G222" s="1">
        <v>88</v>
      </c>
      <c r="H222" s="1" t="s">
        <v>15</v>
      </c>
      <c r="I222" s="1" t="s">
        <v>23</v>
      </c>
      <c r="J222" s="1" t="s">
        <v>34</v>
      </c>
      <c r="K222" s="1" t="s">
        <v>25</v>
      </c>
      <c r="L222" s="5" t="s">
        <v>43</v>
      </c>
      <c r="M222" s="1" t="s">
        <v>55</v>
      </c>
      <c r="N222" s="1" t="str">
        <f>YEAR(sales_data[[#This Row],[Date]]) &amp; "-" &amp; TEXT(MONTH(sales_data[[#This Row],[Date]]), "00")</f>
        <v>2023-05</v>
      </c>
      <c r="O222" s="1">
        <f xml:space="preserve"> (sales_data[[#This Row],[Sales]]* (100 - sales_data[[#This Row],[Discount]]))/100</f>
        <v>18831.762556626869</v>
      </c>
    </row>
    <row r="223" spans="1:15" x14ac:dyDescent="0.5">
      <c r="A223" s="1" t="s">
        <v>787</v>
      </c>
      <c r="B223" s="1" t="s">
        <v>50</v>
      </c>
      <c r="C223">
        <v>19679.308267035001</v>
      </c>
      <c r="D223">
        <v>5</v>
      </c>
      <c r="E223" s="2">
        <v>45063</v>
      </c>
      <c r="F223" s="1">
        <v>146</v>
      </c>
      <c r="G223" s="1">
        <v>74</v>
      </c>
      <c r="H223" s="1" t="s">
        <v>15</v>
      </c>
      <c r="I223" s="1" t="s">
        <v>23</v>
      </c>
      <c r="J223" s="1" t="s">
        <v>17</v>
      </c>
      <c r="K223" s="1" t="s">
        <v>25</v>
      </c>
      <c r="L223" s="5" t="s">
        <v>54</v>
      </c>
      <c r="M223" s="1" t="s">
        <v>48</v>
      </c>
      <c r="N223" s="1" t="str">
        <f>YEAR(sales_data[[#This Row],[Date]]) &amp; "-" &amp; TEXT(MONTH(sales_data[[#This Row],[Date]]), "00")</f>
        <v>2023-05</v>
      </c>
      <c r="O223" s="1">
        <f xml:space="preserve"> (sales_data[[#This Row],[Sales]]* (100 - sales_data[[#This Row],[Discount]]))/100</f>
        <v>18695.342853683251</v>
      </c>
    </row>
    <row r="224" spans="1:15" x14ac:dyDescent="0.5">
      <c r="A224" s="1" t="s">
        <v>941</v>
      </c>
      <c r="B224" s="1" t="s">
        <v>50</v>
      </c>
      <c r="C224">
        <v>23540.543383442899</v>
      </c>
      <c r="D224">
        <v>5</v>
      </c>
      <c r="E224" s="2">
        <v>45063</v>
      </c>
      <c r="F224" s="1">
        <v>140</v>
      </c>
      <c r="G224" s="1">
        <v>27</v>
      </c>
      <c r="H224" s="1" t="s">
        <v>15</v>
      </c>
      <c r="I224" s="1" t="s">
        <v>16</v>
      </c>
      <c r="J224" s="1" t="s">
        <v>24</v>
      </c>
      <c r="K224" s="1" t="s">
        <v>35</v>
      </c>
      <c r="L224" s="5" t="s">
        <v>43</v>
      </c>
      <c r="M224" s="1" t="s">
        <v>27</v>
      </c>
      <c r="N224" s="1" t="str">
        <f>YEAR(sales_data[[#This Row],[Date]]) &amp; "-" &amp; TEXT(MONTH(sales_data[[#This Row],[Date]]), "00")</f>
        <v>2023-05</v>
      </c>
      <c r="O224" s="1">
        <f xml:space="preserve"> (sales_data[[#This Row],[Sales]]* (100 - sales_data[[#This Row],[Discount]]))/100</f>
        <v>22363.516214270756</v>
      </c>
    </row>
    <row r="225" spans="1:15" x14ac:dyDescent="0.5">
      <c r="A225" s="1" t="s">
        <v>801</v>
      </c>
      <c r="B225" s="1" t="s">
        <v>50</v>
      </c>
      <c r="C225">
        <v>0</v>
      </c>
      <c r="D225">
        <v>15</v>
      </c>
      <c r="E225" s="2">
        <v>45064</v>
      </c>
      <c r="F225" s="1">
        <v>114</v>
      </c>
      <c r="G225" s="1">
        <v>30</v>
      </c>
      <c r="H225" s="1" t="s">
        <v>15</v>
      </c>
      <c r="I225" s="1" t="s">
        <v>33</v>
      </c>
      <c r="J225" s="1" t="s">
        <v>34</v>
      </c>
      <c r="K225" s="1" t="s">
        <v>25</v>
      </c>
      <c r="L225" s="5" t="s">
        <v>46</v>
      </c>
      <c r="M225" s="1" t="s">
        <v>44</v>
      </c>
      <c r="N225" s="1" t="str">
        <f>YEAR(sales_data[[#This Row],[Date]]) &amp; "-" &amp; TEXT(MONTH(sales_data[[#This Row],[Date]]), "00")</f>
        <v>2023-05</v>
      </c>
      <c r="O225" s="1">
        <f xml:space="preserve"> (sales_data[[#This Row],[Sales]]* (100 - sales_data[[#This Row],[Discount]]))/100</f>
        <v>0</v>
      </c>
    </row>
    <row r="226" spans="1:15" x14ac:dyDescent="0.5">
      <c r="A226" s="1" t="s">
        <v>919</v>
      </c>
      <c r="B226" s="1" t="s">
        <v>50</v>
      </c>
      <c r="C226">
        <v>22791.6345626086</v>
      </c>
      <c r="D226">
        <v>10</v>
      </c>
      <c r="E226" s="2">
        <v>45064</v>
      </c>
      <c r="F226" s="1">
        <v>198</v>
      </c>
      <c r="G226" s="1">
        <v>72</v>
      </c>
      <c r="H226" s="1" t="s">
        <v>15</v>
      </c>
      <c r="I226" s="1" t="s">
        <v>23</v>
      </c>
      <c r="J226" s="1" t="s">
        <v>17</v>
      </c>
      <c r="K226" s="1" t="s">
        <v>25</v>
      </c>
      <c r="L226" s="5" t="s">
        <v>54</v>
      </c>
      <c r="M226" s="1" t="s">
        <v>44</v>
      </c>
      <c r="N226" s="1" t="str">
        <f>YEAR(sales_data[[#This Row],[Date]]) &amp; "-" &amp; TEXT(MONTH(sales_data[[#This Row],[Date]]), "00")</f>
        <v>2023-05</v>
      </c>
      <c r="O226" s="1">
        <f xml:space="preserve"> (sales_data[[#This Row],[Sales]]* (100 - sales_data[[#This Row],[Discount]]))/100</f>
        <v>20512.471106347741</v>
      </c>
    </row>
    <row r="227" spans="1:15" x14ac:dyDescent="0.5">
      <c r="A227" s="1" t="s">
        <v>313</v>
      </c>
      <c r="B227" s="1" t="s">
        <v>14</v>
      </c>
      <c r="C227">
        <v>32866.799016249301</v>
      </c>
      <c r="D227">
        <v>0</v>
      </c>
      <c r="E227" s="2">
        <v>45066</v>
      </c>
      <c r="F227" s="1">
        <v>181</v>
      </c>
      <c r="G227" s="1">
        <v>6</v>
      </c>
      <c r="H227" s="1" t="s">
        <v>15</v>
      </c>
      <c r="I227" s="1" t="s">
        <v>33</v>
      </c>
      <c r="J227" s="1" t="s">
        <v>17</v>
      </c>
      <c r="K227" s="1" t="s">
        <v>18</v>
      </c>
      <c r="L227" s="5" t="s">
        <v>19</v>
      </c>
      <c r="M227" s="1" t="s">
        <v>48</v>
      </c>
      <c r="N227" s="1" t="str">
        <f>YEAR(sales_data[[#This Row],[Date]]) &amp; "-" &amp; TEXT(MONTH(sales_data[[#This Row],[Date]]), "00")</f>
        <v>2023-05</v>
      </c>
      <c r="O227" s="1">
        <f xml:space="preserve"> (sales_data[[#This Row],[Sales]]* (100 - sales_data[[#This Row],[Discount]]))/100</f>
        <v>32866.799016249301</v>
      </c>
    </row>
    <row r="228" spans="1:15" x14ac:dyDescent="0.5">
      <c r="A228" s="1" t="s">
        <v>409</v>
      </c>
      <c r="B228" s="1" t="s">
        <v>14</v>
      </c>
      <c r="C228">
        <v>15383.8337694454</v>
      </c>
      <c r="D228">
        <v>10</v>
      </c>
      <c r="E228" s="2">
        <v>45066</v>
      </c>
      <c r="F228" s="1">
        <v>123</v>
      </c>
      <c r="G228" s="1">
        <v>57</v>
      </c>
      <c r="H228" s="1" t="s">
        <v>15</v>
      </c>
      <c r="I228" s="1" t="s">
        <v>33</v>
      </c>
      <c r="J228" s="1" t="s">
        <v>34</v>
      </c>
      <c r="K228" s="1" t="s">
        <v>25</v>
      </c>
      <c r="L228" s="5" t="s">
        <v>26</v>
      </c>
      <c r="M228" s="1" t="s">
        <v>27</v>
      </c>
      <c r="N228" s="1" t="str">
        <f>YEAR(sales_data[[#This Row],[Date]]) &amp; "-" &amp; TEXT(MONTH(sales_data[[#This Row],[Date]]), "00")</f>
        <v>2023-05</v>
      </c>
      <c r="O228" s="1">
        <f xml:space="preserve"> (sales_data[[#This Row],[Sales]]* (100 - sales_data[[#This Row],[Discount]]))/100</f>
        <v>13845.450392500861</v>
      </c>
    </row>
    <row r="229" spans="1:15" x14ac:dyDescent="0.5">
      <c r="A229" s="1" t="s">
        <v>403</v>
      </c>
      <c r="B229" s="1" t="s">
        <v>29</v>
      </c>
      <c r="C229">
        <v>22588.295102345601</v>
      </c>
      <c r="D229">
        <v>0</v>
      </c>
      <c r="E229" s="2">
        <v>45067</v>
      </c>
      <c r="F229" s="1">
        <v>163</v>
      </c>
      <c r="G229" s="1">
        <v>18</v>
      </c>
      <c r="H229" s="1" t="s">
        <v>15</v>
      </c>
      <c r="I229" s="1" t="s">
        <v>16</v>
      </c>
      <c r="J229" s="1" t="s">
        <v>24</v>
      </c>
      <c r="K229" s="1" t="s">
        <v>35</v>
      </c>
      <c r="L229" s="5" t="s">
        <v>54</v>
      </c>
      <c r="M229" s="1" t="s">
        <v>31</v>
      </c>
      <c r="N229" s="1" t="str">
        <f>YEAR(sales_data[[#This Row],[Date]]) &amp; "-" &amp; TEXT(MONTH(sales_data[[#This Row],[Date]]), "00")</f>
        <v>2023-05</v>
      </c>
      <c r="O229" s="1">
        <f xml:space="preserve"> (sales_data[[#This Row],[Sales]]* (100 - sales_data[[#This Row],[Discount]]))/100</f>
        <v>22588.295102345597</v>
      </c>
    </row>
    <row r="230" spans="1:15" x14ac:dyDescent="0.5">
      <c r="A230" s="1" t="s">
        <v>618</v>
      </c>
      <c r="B230" s="1" t="s">
        <v>50</v>
      </c>
      <c r="C230">
        <v>0</v>
      </c>
      <c r="D230">
        <v>0</v>
      </c>
      <c r="E230" s="2">
        <v>45067</v>
      </c>
      <c r="F230" s="1">
        <v>170</v>
      </c>
      <c r="G230" s="1">
        <v>79</v>
      </c>
      <c r="H230" s="1" t="s">
        <v>15</v>
      </c>
      <c r="I230" s="1" t="s">
        <v>16</v>
      </c>
      <c r="J230" s="1" t="s">
        <v>17</v>
      </c>
      <c r="K230" s="1" t="s">
        <v>35</v>
      </c>
      <c r="L230" s="5" t="s">
        <v>85</v>
      </c>
      <c r="M230" s="1" t="s">
        <v>20</v>
      </c>
      <c r="N230" s="1" t="str">
        <f>YEAR(sales_data[[#This Row],[Date]]) &amp; "-" &amp; TEXT(MONTH(sales_data[[#This Row],[Date]]), "00")</f>
        <v>2023-05</v>
      </c>
      <c r="O230" s="1">
        <f xml:space="preserve"> (sales_data[[#This Row],[Sales]]* (100 - sales_data[[#This Row],[Discount]]))/100</f>
        <v>0</v>
      </c>
    </row>
    <row r="231" spans="1:15" x14ac:dyDescent="0.5">
      <c r="A231" s="1" t="s">
        <v>914</v>
      </c>
      <c r="B231" s="1" t="s">
        <v>50</v>
      </c>
      <c r="C231">
        <v>13951.794906543901</v>
      </c>
      <c r="D231">
        <v>5</v>
      </c>
      <c r="E231" s="2">
        <v>45068</v>
      </c>
      <c r="F231" s="1">
        <v>166</v>
      </c>
      <c r="G231" s="1">
        <v>66</v>
      </c>
      <c r="H231" s="1" t="s">
        <v>15</v>
      </c>
      <c r="I231" s="1" t="s">
        <v>16</v>
      </c>
      <c r="J231" s="1" t="s">
        <v>17</v>
      </c>
      <c r="K231" s="1" t="s">
        <v>25</v>
      </c>
      <c r="L231" s="5" t="s">
        <v>58</v>
      </c>
      <c r="M231" s="1" t="s">
        <v>27</v>
      </c>
      <c r="N231" s="1" t="str">
        <f>YEAR(sales_data[[#This Row],[Date]]) &amp; "-" &amp; TEXT(MONTH(sales_data[[#This Row],[Date]]), "00")</f>
        <v>2023-05</v>
      </c>
      <c r="O231" s="1">
        <f xml:space="preserve"> (sales_data[[#This Row],[Sales]]* (100 - sales_data[[#This Row],[Discount]]))/100</f>
        <v>13254.205161216705</v>
      </c>
    </row>
    <row r="232" spans="1:15" x14ac:dyDescent="0.5">
      <c r="A232" s="1" t="s">
        <v>692</v>
      </c>
      <c r="B232" s="1" t="s">
        <v>29</v>
      </c>
      <c r="C232">
        <v>23235.9796985137</v>
      </c>
      <c r="D232">
        <v>10</v>
      </c>
      <c r="E232" s="2">
        <v>45069</v>
      </c>
      <c r="F232" s="1">
        <v>115</v>
      </c>
      <c r="G232" s="1">
        <v>16</v>
      </c>
      <c r="H232" s="1" t="s">
        <v>15</v>
      </c>
      <c r="I232" s="1" t="s">
        <v>33</v>
      </c>
      <c r="J232" s="1" t="s">
        <v>17</v>
      </c>
      <c r="K232" s="1" t="s">
        <v>18</v>
      </c>
      <c r="L232" s="5" t="s">
        <v>30</v>
      </c>
      <c r="M232" s="1" t="s">
        <v>55</v>
      </c>
      <c r="N232" s="1" t="str">
        <f>YEAR(sales_data[[#This Row],[Date]]) &amp; "-" &amp; TEXT(MONTH(sales_data[[#This Row],[Date]]), "00")</f>
        <v>2023-05</v>
      </c>
      <c r="O232" s="1">
        <f xml:space="preserve"> (sales_data[[#This Row],[Sales]]* (100 - sales_data[[#This Row],[Discount]]))/100</f>
        <v>20912.381728662331</v>
      </c>
    </row>
    <row r="233" spans="1:15" x14ac:dyDescent="0.5">
      <c r="A233" s="1" t="s">
        <v>668</v>
      </c>
      <c r="B233" s="1" t="s">
        <v>50</v>
      </c>
      <c r="C233">
        <v>17323.823942197101</v>
      </c>
      <c r="D233">
        <v>0</v>
      </c>
      <c r="E233" s="2">
        <v>45071</v>
      </c>
      <c r="F233" s="1">
        <v>136</v>
      </c>
      <c r="G233" s="1">
        <v>92</v>
      </c>
      <c r="H233" s="1" t="s">
        <v>15</v>
      </c>
      <c r="I233" s="1" t="s">
        <v>23</v>
      </c>
      <c r="J233" s="1" t="s">
        <v>17</v>
      </c>
      <c r="K233" s="1" t="s">
        <v>35</v>
      </c>
      <c r="L233" s="5" t="s">
        <v>38</v>
      </c>
      <c r="M233" s="1" t="s">
        <v>48</v>
      </c>
      <c r="N233" s="1" t="str">
        <f>YEAR(sales_data[[#This Row],[Date]]) &amp; "-" &amp; TEXT(MONTH(sales_data[[#This Row],[Date]]), "00")</f>
        <v>2023-05</v>
      </c>
      <c r="O233" s="1">
        <f xml:space="preserve"> (sales_data[[#This Row],[Sales]]* (100 - sales_data[[#This Row],[Discount]]))/100</f>
        <v>17323.823942197101</v>
      </c>
    </row>
    <row r="234" spans="1:15" x14ac:dyDescent="0.5">
      <c r="A234" s="1" t="s">
        <v>819</v>
      </c>
      <c r="B234" s="1" t="s">
        <v>50</v>
      </c>
      <c r="C234">
        <v>7502.9714256321304</v>
      </c>
      <c r="D234">
        <v>5</v>
      </c>
      <c r="E234" s="2">
        <v>45071</v>
      </c>
      <c r="F234" s="1">
        <v>102</v>
      </c>
      <c r="G234" s="1">
        <v>85</v>
      </c>
      <c r="H234" s="1" t="s">
        <v>15</v>
      </c>
      <c r="I234" s="1" t="s">
        <v>33</v>
      </c>
      <c r="J234" s="1" t="s">
        <v>17</v>
      </c>
      <c r="K234" s="1" t="s">
        <v>35</v>
      </c>
      <c r="L234" s="5" t="s">
        <v>43</v>
      </c>
      <c r="M234" s="1" t="s">
        <v>41</v>
      </c>
      <c r="N234" s="1" t="str">
        <f>YEAR(sales_data[[#This Row],[Date]]) &amp; "-" &amp; TEXT(MONTH(sales_data[[#This Row],[Date]]), "00")</f>
        <v>2023-05</v>
      </c>
      <c r="O234" s="1">
        <f xml:space="preserve"> (sales_data[[#This Row],[Sales]]* (100 - sales_data[[#This Row],[Discount]]))/100</f>
        <v>7127.8228543505238</v>
      </c>
    </row>
    <row r="235" spans="1:15" x14ac:dyDescent="0.5">
      <c r="A235" s="1" t="s">
        <v>949</v>
      </c>
      <c r="B235" s="1" t="s">
        <v>40</v>
      </c>
      <c r="C235">
        <v>21942.8930226548</v>
      </c>
      <c r="D235">
        <v>15</v>
      </c>
      <c r="E235" s="2">
        <v>45071</v>
      </c>
      <c r="F235" s="1">
        <v>167</v>
      </c>
      <c r="G235" s="1">
        <v>37</v>
      </c>
      <c r="H235" s="1" t="s">
        <v>38</v>
      </c>
      <c r="I235" s="1" t="s">
        <v>23</v>
      </c>
      <c r="J235" s="1" t="s">
        <v>17</v>
      </c>
      <c r="K235" s="1" t="s">
        <v>25</v>
      </c>
      <c r="L235" s="5" t="s">
        <v>38</v>
      </c>
      <c r="M235" s="1" t="s">
        <v>48</v>
      </c>
      <c r="N235" s="1" t="str">
        <f>YEAR(sales_data[[#This Row],[Date]]) &amp; "-" &amp; TEXT(MONTH(sales_data[[#This Row],[Date]]), "00")</f>
        <v>2023-05</v>
      </c>
      <c r="O235" s="1">
        <f xml:space="preserve"> (sales_data[[#This Row],[Sales]]* (100 - sales_data[[#This Row],[Discount]]))/100</f>
        <v>18651.45906925658</v>
      </c>
    </row>
    <row r="236" spans="1:15" x14ac:dyDescent="0.5">
      <c r="A236" s="1" t="s">
        <v>147</v>
      </c>
      <c r="B236" s="1" t="s">
        <v>40</v>
      </c>
      <c r="C236">
        <v>28435.708175362801</v>
      </c>
      <c r="D236">
        <v>15</v>
      </c>
      <c r="E236" s="2">
        <v>45073</v>
      </c>
      <c r="F236" s="1">
        <v>150</v>
      </c>
      <c r="G236" s="1">
        <v>89</v>
      </c>
      <c r="H236" s="1" t="s">
        <v>15</v>
      </c>
      <c r="I236" s="1" t="s">
        <v>33</v>
      </c>
      <c r="J236" s="1" t="s">
        <v>24</v>
      </c>
      <c r="K236" s="1" t="s">
        <v>25</v>
      </c>
      <c r="L236" s="5" t="s">
        <v>19</v>
      </c>
      <c r="M236" s="1" t="s">
        <v>27</v>
      </c>
      <c r="N236" s="1" t="str">
        <f>YEAR(sales_data[[#This Row],[Date]]) &amp; "-" &amp; TEXT(MONTH(sales_data[[#This Row],[Date]]), "00")</f>
        <v>2023-05</v>
      </c>
      <c r="O236" s="1">
        <f xml:space="preserve"> (sales_data[[#This Row],[Sales]]* (100 - sales_data[[#This Row],[Discount]]))/100</f>
        <v>24170.351949058379</v>
      </c>
    </row>
    <row r="237" spans="1:15" x14ac:dyDescent="0.5">
      <c r="A237" s="1" t="s">
        <v>274</v>
      </c>
      <c r="B237" s="1" t="s">
        <v>29</v>
      </c>
      <c r="C237">
        <v>20646.1059098761</v>
      </c>
      <c r="D237">
        <v>0</v>
      </c>
      <c r="E237" s="2">
        <v>45073</v>
      </c>
      <c r="F237" s="1">
        <v>176</v>
      </c>
      <c r="G237" s="1">
        <v>48</v>
      </c>
      <c r="H237" s="1" t="s">
        <v>15</v>
      </c>
      <c r="I237" s="1" t="s">
        <v>16</v>
      </c>
      <c r="J237" s="1" t="s">
        <v>17</v>
      </c>
      <c r="K237" s="1" t="s">
        <v>35</v>
      </c>
      <c r="L237" s="5" t="s">
        <v>43</v>
      </c>
      <c r="M237" s="1" t="s">
        <v>44</v>
      </c>
      <c r="N237" s="1" t="str">
        <f>YEAR(sales_data[[#This Row],[Date]]) &amp; "-" &amp; TEXT(MONTH(sales_data[[#This Row],[Date]]), "00")</f>
        <v>2023-05</v>
      </c>
      <c r="O237" s="1">
        <f xml:space="preserve"> (sales_data[[#This Row],[Sales]]* (100 - sales_data[[#This Row],[Discount]]))/100</f>
        <v>20646.1059098761</v>
      </c>
    </row>
    <row r="238" spans="1:15" x14ac:dyDescent="0.5">
      <c r="A238" s="1" t="s">
        <v>646</v>
      </c>
      <c r="B238" s="1" t="s">
        <v>22</v>
      </c>
      <c r="C238">
        <v>24386.811452878301</v>
      </c>
      <c r="D238">
        <v>15</v>
      </c>
      <c r="E238" s="2">
        <v>45075</v>
      </c>
      <c r="F238" s="1">
        <v>169</v>
      </c>
      <c r="G238" s="1">
        <v>98</v>
      </c>
      <c r="H238" s="1" t="s">
        <v>15</v>
      </c>
      <c r="I238" s="1" t="s">
        <v>16</v>
      </c>
      <c r="J238" s="1" t="s">
        <v>34</v>
      </c>
      <c r="K238" s="1" t="s">
        <v>35</v>
      </c>
      <c r="L238" s="5" t="s">
        <v>46</v>
      </c>
      <c r="M238" s="1" t="s">
        <v>20</v>
      </c>
      <c r="N238" s="1" t="str">
        <f>YEAR(sales_data[[#This Row],[Date]]) &amp; "-" &amp; TEXT(MONTH(sales_data[[#This Row],[Date]]), "00")</f>
        <v>2023-05</v>
      </c>
      <c r="O238" s="1">
        <f xml:space="preserve"> (sales_data[[#This Row],[Sales]]* (100 - sales_data[[#This Row],[Discount]]))/100</f>
        <v>20728.789734946553</v>
      </c>
    </row>
    <row r="239" spans="1:15" x14ac:dyDescent="0.5">
      <c r="A239" s="1" t="s">
        <v>925</v>
      </c>
      <c r="B239" s="1" t="s">
        <v>29</v>
      </c>
      <c r="C239">
        <v>19443.8696932565</v>
      </c>
      <c r="D239">
        <v>5</v>
      </c>
      <c r="E239" s="2">
        <v>45075</v>
      </c>
      <c r="F239" s="1">
        <v>144</v>
      </c>
      <c r="G239" s="1">
        <v>29</v>
      </c>
      <c r="H239" s="1" t="s">
        <v>15</v>
      </c>
      <c r="I239" s="1" t="s">
        <v>33</v>
      </c>
      <c r="J239" s="1" t="s">
        <v>17</v>
      </c>
      <c r="K239" s="1" t="s">
        <v>25</v>
      </c>
      <c r="L239" s="5" t="s">
        <v>46</v>
      </c>
      <c r="M239" s="1" t="s">
        <v>48</v>
      </c>
      <c r="N239" s="1" t="str">
        <f>YEAR(sales_data[[#This Row],[Date]]) &amp; "-" &amp; TEXT(MONTH(sales_data[[#This Row],[Date]]), "00")</f>
        <v>2023-05</v>
      </c>
      <c r="O239" s="1">
        <f xml:space="preserve"> (sales_data[[#This Row],[Sales]]* (100 - sales_data[[#This Row],[Discount]]))/100</f>
        <v>18471.676208593675</v>
      </c>
    </row>
    <row r="240" spans="1:15" x14ac:dyDescent="0.5">
      <c r="A240" s="1" t="s">
        <v>263</v>
      </c>
      <c r="B240" s="1" t="s">
        <v>22</v>
      </c>
      <c r="C240">
        <v>22067.174516118499</v>
      </c>
      <c r="D240">
        <v>0</v>
      </c>
      <c r="E240" s="2">
        <v>45077</v>
      </c>
      <c r="F240" s="1">
        <v>129</v>
      </c>
      <c r="G240" s="1">
        <v>53</v>
      </c>
      <c r="H240" s="1" t="s">
        <v>15</v>
      </c>
      <c r="I240" s="1" t="s">
        <v>16</v>
      </c>
      <c r="J240" s="1" t="s">
        <v>17</v>
      </c>
      <c r="K240" s="1" t="s">
        <v>25</v>
      </c>
      <c r="L240" s="5" t="s">
        <v>46</v>
      </c>
      <c r="M240" s="1" t="s">
        <v>48</v>
      </c>
      <c r="N240" s="1" t="str">
        <f>YEAR(sales_data[[#This Row],[Date]]) &amp; "-" &amp; TEXT(MONTH(sales_data[[#This Row],[Date]]), "00")</f>
        <v>2023-05</v>
      </c>
      <c r="O240" s="1">
        <f xml:space="preserve"> (sales_data[[#This Row],[Sales]]* (100 - sales_data[[#This Row],[Discount]]))/100</f>
        <v>22067.174516118499</v>
      </c>
    </row>
    <row r="241" spans="1:15" x14ac:dyDescent="0.5">
      <c r="A241" s="1" t="s">
        <v>510</v>
      </c>
      <c r="B241" s="1" t="s">
        <v>14</v>
      </c>
      <c r="C241">
        <v>17222.614404198699</v>
      </c>
      <c r="D241">
        <v>0</v>
      </c>
      <c r="E241" s="2">
        <v>45077</v>
      </c>
      <c r="F241" s="1">
        <v>119</v>
      </c>
      <c r="G241" s="1">
        <v>34</v>
      </c>
      <c r="H241" s="1" t="s">
        <v>15</v>
      </c>
      <c r="I241" s="1" t="s">
        <v>33</v>
      </c>
      <c r="J241" s="1" t="s">
        <v>24</v>
      </c>
      <c r="K241" s="1" t="s">
        <v>35</v>
      </c>
      <c r="L241" s="5" t="s">
        <v>26</v>
      </c>
      <c r="M241" s="1" t="s">
        <v>20</v>
      </c>
      <c r="N241" s="1" t="str">
        <f>YEAR(sales_data[[#This Row],[Date]]) &amp; "-" &amp; TEXT(MONTH(sales_data[[#This Row],[Date]]), "00")</f>
        <v>2023-05</v>
      </c>
      <c r="O241" s="1">
        <f xml:space="preserve"> (sales_data[[#This Row],[Sales]]* (100 - sales_data[[#This Row],[Discount]]))/100</f>
        <v>17222.614404198699</v>
      </c>
    </row>
    <row r="242" spans="1:15" x14ac:dyDescent="0.5">
      <c r="A242" s="1" t="s">
        <v>309</v>
      </c>
      <c r="B242" s="1" t="s">
        <v>14</v>
      </c>
      <c r="C242">
        <v>29244.7804747267</v>
      </c>
      <c r="D242">
        <v>5</v>
      </c>
      <c r="E242" s="2">
        <v>45078</v>
      </c>
      <c r="F242" s="1">
        <v>199</v>
      </c>
      <c r="G242" s="1">
        <v>73</v>
      </c>
      <c r="H242" s="1" t="s">
        <v>15</v>
      </c>
      <c r="I242" s="1" t="s">
        <v>23</v>
      </c>
      <c r="J242" s="1" t="s">
        <v>17</v>
      </c>
      <c r="K242" s="1" t="s">
        <v>35</v>
      </c>
      <c r="L242" s="5" t="s">
        <v>38</v>
      </c>
      <c r="M242" s="1" t="s">
        <v>44</v>
      </c>
      <c r="N242" s="1" t="str">
        <f>YEAR(sales_data[[#This Row],[Date]]) &amp; "-" &amp; TEXT(MONTH(sales_data[[#This Row],[Date]]), "00")</f>
        <v>2023-06</v>
      </c>
      <c r="O242" s="1">
        <f xml:space="preserve"> (sales_data[[#This Row],[Sales]]* (100 - sales_data[[#This Row],[Discount]]))/100</f>
        <v>27782.541450990364</v>
      </c>
    </row>
    <row r="243" spans="1:15" x14ac:dyDescent="0.5">
      <c r="A243" s="1" t="s">
        <v>732</v>
      </c>
      <c r="B243" s="1" t="s">
        <v>29</v>
      </c>
      <c r="C243">
        <v>13585.0388790571</v>
      </c>
      <c r="D243">
        <v>15</v>
      </c>
      <c r="E243" s="2">
        <v>45078</v>
      </c>
      <c r="F243" s="1">
        <v>171</v>
      </c>
      <c r="G243" s="1">
        <v>7</v>
      </c>
      <c r="H243" s="1" t="s">
        <v>15</v>
      </c>
      <c r="I243" s="1" t="s">
        <v>16</v>
      </c>
      <c r="J243" s="1" t="s">
        <v>34</v>
      </c>
      <c r="K243" s="1" t="s">
        <v>35</v>
      </c>
      <c r="L243" s="5" t="s">
        <v>58</v>
      </c>
      <c r="M243" s="1" t="s">
        <v>48</v>
      </c>
      <c r="N243" s="1" t="str">
        <f>YEAR(sales_data[[#This Row],[Date]]) &amp; "-" &amp; TEXT(MONTH(sales_data[[#This Row],[Date]]), "00")</f>
        <v>2023-06</v>
      </c>
      <c r="O243" s="1">
        <f xml:space="preserve"> (sales_data[[#This Row],[Sales]]* (100 - sales_data[[#This Row],[Discount]]))/100</f>
        <v>11547.283047198534</v>
      </c>
    </row>
    <row r="244" spans="1:15" x14ac:dyDescent="0.5">
      <c r="A244" s="1" t="s">
        <v>699</v>
      </c>
      <c r="B244" s="1" t="s">
        <v>50</v>
      </c>
      <c r="C244">
        <v>28419.6384572893</v>
      </c>
      <c r="D244">
        <v>5</v>
      </c>
      <c r="E244" s="2">
        <v>45080</v>
      </c>
      <c r="F244" s="1">
        <v>152</v>
      </c>
      <c r="G244" s="1">
        <v>94</v>
      </c>
      <c r="H244" s="1" t="s">
        <v>15</v>
      </c>
      <c r="I244" s="1" t="s">
        <v>16</v>
      </c>
      <c r="J244" s="1" t="s">
        <v>17</v>
      </c>
      <c r="K244" s="1" t="s">
        <v>18</v>
      </c>
      <c r="L244" s="5" t="s">
        <v>58</v>
      </c>
      <c r="M244" s="1" t="s">
        <v>55</v>
      </c>
      <c r="N244" s="1" t="str">
        <f>YEAR(sales_data[[#This Row],[Date]]) &amp; "-" &amp; TEXT(MONTH(sales_data[[#This Row],[Date]]), "00")</f>
        <v>2023-06</v>
      </c>
      <c r="O244" s="1">
        <f xml:space="preserve"> (sales_data[[#This Row],[Sales]]* (100 - sales_data[[#This Row],[Discount]]))/100</f>
        <v>26998.656534424834</v>
      </c>
    </row>
    <row r="245" spans="1:15" x14ac:dyDescent="0.5">
      <c r="A245" s="1" t="s">
        <v>816</v>
      </c>
      <c r="B245" s="1" t="s">
        <v>29</v>
      </c>
      <c r="C245">
        <v>31262.1790267215</v>
      </c>
      <c r="D245">
        <v>15</v>
      </c>
      <c r="E245" s="2">
        <v>45080</v>
      </c>
      <c r="F245" s="1">
        <v>112</v>
      </c>
      <c r="G245" s="1">
        <v>3</v>
      </c>
      <c r="H245" s="1" t="s">
        <v>15</v>
      </c>
      <c r="I245" s="1" t="s">
        <v>16</v>
      </c>
      <c r="J245" s="1" t="s">
        <v>17</v>
      </c>
      <c r="K245" s="1" t="s">
        <v>18</v>
      </c>
      <c r="L245" s="5" t="s">
        <v>85</v>
      </c>
      <c r="M245" s="1" t="s">
        <v>48</v>
      </c>
      <c r="N245" s="1" t="str">
        <f>YEAR(sales_data[[#This Row],[Date]]) &amp; "-" &amp; TEXT(MONTH(sales_data[[#This Row],[Date]]), "00")</f>
        <v>2023-06</v>
      </c>
      <c r="O245" s="1">
        <f xml:space="preserve"> (sales_data[[#This Row],[Sales]]* (100 - sales_data[[#This Row],[Discount]]))/100</f>
        <v>26572.852172713276</v>
      </c>
    </row>
    <row r="246" spans="1:15" x14ac:dyDescent="0.5">
      <c r="A246" s="1" t="s">
        <v>802</v>
      </c>
      <c r="B246" s="1" t="s">
        <v>14</v>
      </c>
      <c r="C246">
        <v>20627.882267357701</v>
      </c>
      <c r="D246">
        <v>10</v>
      </c>
      <c r="E246" s="2">
        <v>45082</v>
      </c>
      <c r="F246" s="1">
        <v>195</v>
      </c>
      <c r="G246" s="1">
        <v>48</v>
      </c>
      <c r="H246" s="1" t="s">
        <v>15</v>
      </c>
      <c r="I246" s="1" t="s">
        <v>33</v>
      </c>
      <c r="J246" s="1" t="s">
        <v>17</v>
      </c>
      <c r="K246" s="1" t="s">
        <v>25</v>
      </c>
      <c r="L246" s="5" t="s">
        <v>54</v>
      </c>
      <c r="M246" s="1" t="s">
        <v>31</v>
      </c>
      <c r="N246" s="1" t="str">
        <f>YEAR(sales_data[[#This Row],[Date]]) &amp; "-" &amp; TEXT(MONTH(sales_data[[#This Row],[Date]]), "00")</f>
        <v>2023-06</v>
      </c>
      <c r="O246" s="1">
        <f xml:space="preserve"> (sales_data[[#This Row],[Sales]]* (100 - sales_data[[#This Row],[Discount]]))/100</f>
        <v>18565.094040621931</v>
      </c>
    </row>
    <row r="247" spans="1:15" x14ac:dyDescent="0.5">
      <c r="A247" s="1" t="s">
        <v>1031</v>
      </c>
      <c r="B247" s="1" t="s">
        <v>22</v>
      </c>
      <c r="C247">
        <v>13140.4942853432</v>
      </c>
      <c r="D247">
        <v>10</v>
      </c>
      <c r="E247" s="2">
        <v>45082</v>
      </c>
      <c r="F247" s="1">
        <v>112</v>
      </c>
      <c r="G247" s="1">
        <v>65</v>
      </c>
      <c r="H247" s="1" t="s">
        <v>15</v>
      </c>
      <c r="I247" s="1" t="s">
        <v>33</v>
      </c>
      <c r="J247" s="1" t="s">
        <v>17</v>
      </c>
      <c r="K247" s="1" t="s">
        <v>25</v>
      </c>
      <c r="L247" s="5" t="s">
        <v>54</v>
      </c>
      <c r="M247" s="1" t="s">
        <v>41</v>
      </c>
      <c r="N247" s="1" t="str">
        <f>YEAR(sales_data[[#This Row],[Date]]) &amp; "-" &amp; TEXT(MONTH(sales_data[[#This Row],[Date]]), "00")</f>
        <v>2023-06</v>
      </c>
      <c r="O247" s="1">
        <f xml:space="preserve"> (sales_data[[#This Row],[Sales]]* (100 - sales_data[[#This Row],[Discount]]))/100</f>
        <v>11826.444856808879</v>
      </c>
    </row>
    <row r="248" spans="1:15" x14ac:dyDescent="0.5">
      <c r="A248" s="1" t="s">
        <v>956</v>
      </c>
      <c r="B248" s="1" t="s">
        <v>29</v>
      </c>
      <c r="C248">
        <v>18548.627279056702</v>
      </c>
      <c r="D248">
        <v>0</v>
      </c>
      <c r="E248" s="2">
        <v>45083</v>
      </c>
      <c r="F248" s="1">
        <v>175</v>
      </c>
      <c r="G248" s="1">
        <v>94</v>
      </c>
      <c r="H248" s="1" t="s">
        <v>15</v>
      </c>
      <c r="I248" s="1" t="s">
        <v>33</v>
      </c>
      <c r="J248" s="1" t="s">
        <v>24</v>
      </c>
      <c r="K248" s="1" t="s">
        <v>25</v>
      </c>
      <c r="L248" s="5" t="s">
        <v>36</v>
      </c>
      <c r="M248" s="1" t="s">
        <v>41</v>
      </c>
      <c r="N248" s="1" t="str">
        <f>YEAR(sales_data[[#This Row],[Date]]) &amp; "-" &amp; TEXT(MONTH(sales_data[[#This Row],[Date]]), "00")</f>
        <v>2023-06</v>
      </c>
      <c r="O248" s="1">
        <f xml:space="preserve"> (sales_data[[#This Row],[Sales]]* (100 - sales_data[[#This Row],[Discount]]))/100</f>
        <v>18548.627279056702</v>
      </c>
    </row>
    <row r="249" spans="1:15" x14ac:dyDescent="0.5">
      <c r="A249" s="1" t="s">
        <v>116</v>
      </c>
      <c r="B249" s="1" t="s">
        <v>50</v>
      </c>
      <c r="C249">
        <v>14823.7883879031</v>
      </c>
      <c r="D249">
        <v>0</v>
      </c>
      <c r="E249" s="2">
        <v>45084</v>
      </c>
      <c r="F249" s="1">
        <v>148</v>
      </c>
      <c r="G249" s="1">
        <v>35</v>
      </c>
      <c r="H249" s="1" t="s">
        <v>15</v>
      </c>
      <c r="I249" s="1" t="s">
        <v>16</v>
      </c>
      <c r="J249" s="1" t="s">
        <v>17</v>
      </c>
      <c r="K249" s="1" t="s">
        <v>18</v>
      </c>
      <c r="L249" s="5" t="s">
        <v>54</v>
      </c>
      <c r="M249" s="1" t="s">
        <v>44</v>
      </c>
      <c r="N249" s="1" t="str">
        <f>YEAR(sales_data[[#This Row],[Date]]) &amp; "-" &amp; TEXT(MONTH(sales_data[[#This Row],[Date]]), "00")</f>
        <v>2023-06</v>
      </c>
      <c r="O249" s="1">
        <f xml:space="preserve"> (sales_data[[#This Row],[Sales]]* (100 - sales_data[[#This Row],[Discount]]))/100</f>
        <v>14823.788387903101</v>
      </c>
    </row>
    <row r="250" spans="1:15" x14ac:dyDescent="0.5">
      <c r="A250" s="1" t="s">
        <v>119</v>
      </c>
      <c r="B250" s="1" t="s">
        <v>29</v>
      </c>
      <c r="C250">
        <v>29823.625664581901</v>
      </c>
      <c r="D250">
        <v>10</v>
      </c>
      <c r="E250" s="2">
        <v>45085</v>
      </c>
      <c r="F250" s="1">
        <v>181</v>
      </c>
      <c r="G250" s="1">
        <v>33</v>
      </c>
      <c r="H250" s="1" t="s">
        <v>38</v>
      </c>
      <c r="I250" s="1" t="s">
        <v>16</v>
      </c>
      <c r="J250" s="1" t="s">
        <v>24</v>
      </c>
      <c r="K250" s="1" t="s">
        <v>18</v>
      </c>
      <c r="L250" s="5" t="s">
        <v>54</v>
      </c>
      <c r="M250" s="1" t="s">
        <v>20</v>
      </c>
      <c r="N250" s="1" t="str">
        <f>YEAR(sales_data[[#This Row],[Date]]) &amp; "-" &amp; TEXT(MONTH(sales_data[[#This Row],[Date]]), "00")</f>
        <v>2023-06</v>
      </c>
      <c r="O250" s="1">
        <f xml:space="preserve"> (sales_data[[#This Row],[Sales]]* (100 - sales_data[[#This Row],[Discount]]))/100</f>
        <v>26841.263098123713</v>
      </c>
    </row>
    <row r="251" spans="1:15" x14ac:dyDescent="0.5">
      <c r="A251" s="1" t="s">
        <v>236</v>
      </c>
      <c r="B251" s="1" t="s">
        <v>14</v>
      </c>
      <c r="C251">
        <v>23854.325969434802</v>
      </c>
      <c r="D251">
        <v>0</v>
      </c>
      <c r="E251" s="2">
        <v>45087</v>
      </c>
      <c r="F251" s="1">
        <v>107</v>
      </c>
      <c r="G251" s="1">
        <v>3</v>
      </c>
      <c r="H251" s="1" t="s">
        <v>15</v>
      </c>
      <c r="I251" s="1" t="s">
        <v>33</v>
      </c>
      <c r="J251" s="1" t="s">
        <v>34</v>
      </c>
      <c r="K251" s="1" t="s">
        <v>18</v>
      </c>
      <c r="L251" s="5" t="s">
        <v>36</v>
      </c>
      <c r="M251" s="1" t="s">
        <v>20</v>
      </c>
      <c r="N251" s="1" t="str">
        <f>YEAR(sales_data[[#This Row],[Date]]) &amp; "-" &amp; TEXT(MONTH(sales_data[[#This Row],[Date]]), "00")</f>
        <v>2023-06</v>
      </c>
      <c r="O251" s="1">
        <f xml:space="preserve"> (sales_data[[#This Row],[Sales]]* (100 - sales_data[[#This Row],[Discount]]))/100</f>
        <v>23854.325969434798</v>
      </c>
    </row>
    <row r="252" spans="1:15" x14ac:dyDescent="0.5">
      <c r="A252" s="1" t="s">
        <v>386</v>
      </c>
      <c r="B252" s="1" t="s">
        <v>22</v>
      </c>
      <c r="C252">
        <v>21737.9085268083</v>
      </c>
      <c r="D252">
        <v>5</v>
      </c>
      <c r="E252" s="2">
        <v>45088</v>
      </c>
      <c r="F252" s="1">
        <v>166</v>
      </c>
      <c r="G252" s="1">
        <v>97</v>
      </c>
      <c r="H252" s="1" t="s">
        <v>15</v>
      </c>
      <c r="I252" s="1" t="s">
        <v>23</v>
      </c>
      <c r="J252" s="1" t="s">
        <v>17</v>
      </c>
      <c r="K252" s="1" t="s">
        <v>25</v>
      </c>
      <c r="L252" s="5" t="s">
        <v>85</v>
      </c>
      <c r="M252" s="1" t="s">
        <v>48</v>
      </c>
      <c r="N252" s="1" t="str">
        <f>YEAR(sales_data[[#This Row],[Date]]) &amp; "-" &amp; TEXT(MONTH(sales_data[[#This Row],[Date]]), "00")</f>
        <v>2023-06</v>
      </c>
      <c r="O252" s="1">
        <f xml:space="preserve"> (sales_data[[#This Row],[Sales]]* (100 - sales_data[[#This Row],[Discount]]))/100</f>
        <v>20651.013100467884</v>
      </c>
    </row>
    <row r="253" spans="1:15" x14ac:dyDescent="0.5">
      <c r="A253" s="1" t="s">
        <v>411</v>
      </c>
      <c r="B253" s="1" t="s">
        <v>50</v>
      </c>
      <c r="C253">
        <v>15120.633735113301</v>
      </c>
      <c r="D253">
        <v>5</v>
      </c>
      <c r="E253" s="2">
        <v>45088</v>
      </c>
      <c r="F253" s="1">
        <v>155</v>
      </c>
      <c r="G253" s="1">
        <v>4</v>
      </c>
      <c r="H253" s="1" t="s">
        <v>15</v>
      </c>
      <c r="I253" s="1" t="s">
        <v>23</v>
      </c>
      <c r="J253" s="1" t="s">
        <v>17</v>
      </c>
      <c r="K253" s="1" t="s">
        <v>18</v>
      </c>
      <c r="L253" s="5" t="s">
        <v>30</v>
      </c>
      <c r="M253" s="1" t="s">
        <v>48</v>
      </c>
      <c r="N253" s="1" t="str">
        <f>YEAR(sales_data[[#This Row],[Date]]) &amp; "-" &amp; TEXT(MONTH(sales_data[[#This Row],[Date]]), "00")</f>
        <v>2023-06</v>
      </c>
      <c r="O253" s="1">
        <f xml:space="preserve"> (sales_data[[#This Row],[Sales]]* (100 - sales_data[[#This Row],[Discount]]))/100</f>
        <v>14364.602048357636</v>
      </c>
    </row>
    <row r="254" spans="1:15" x14ac:dyDescent="0.5">
      <c r="A254" s="1" t="s">
        <v>791</v>
      </c>
      <c r="B254" s="1" t="s">
        <v>14</v>
      </c>
      <c r="C254">
        <v>28068.5563452932</v>
      </c>
      <c r="D254">
        <v>10</v>
      </c>
      <c r="E254" s="2">
        <v>45089</v>
      </c>
      <c r="F254" s="1">
        <v>104</v>
      </c>
      <c r="G254" s="1">
        <v>95</v>
      </c>
      <c r="H254" s="1" t="s">
        <v>15</v>
      </c>
      <c r="I254" s="1" t="s">
        <v>23</v>
      </c>
      <c r="J254" s="1" t="s">
        <v>24</v>
      </c>
      <c r="K254" s="1" t="s">
        <v>18</v>
      </c>
      <c r="L254" s="5" t="s">
        <v>43</v>
      </c>
      <c r="M254" s="1" t="s">
        <v>20</v>
      </c>
      <c r="N254" s="1" t="str">
        <f>YEAR(sales_data[[#This Row],[Date]]) &amp; "-" &amp; TEXT(MONTH(sales_data[[#This Row],[Date]]), "00")</f>
        <v>2023-06</v>
      </c>
      <c r="O254" s="1">
        <f xml:space="preserve"> (sales_data[[#This Row],[Sales]]* (100 - sales_data[[#This Row],[Discount]]))/100</f>
        <v>25261.700710763878</v>
      </c>
    </row>
    <row r="255" spans="1:15" x14ac:dyDescent="0.5">
      <c r="A255" s="1" t="s">
        <v>829</v>
      </c>
      <c r="B255" s="1" t="s">
        <v>50</v>
      </c>
      <c r="C255">
        <v>23794.642948933801</v>
      </c>
      <c r="D255">
        <v>0</v>
      </c>
      <c r="E255" s="2">
        <v>45090</v>
      </c>
      <c r="F255" s="1">
        <v>149</v>
      </c>
      <c r="G255" s="1">
        <v>74</v>
      </c>
      <c r="H255" s="1" t="s">
        <v>15</v>
      </c>
      <c r="I255" s="1" t="s">
        <v>16</v>
      </c>
      <c r="J255" s="1" t="s">
        <v>24</v>
      </c>
      <c r="K255" s="1" t="s">
        <v>18</v>
      </c>
      <c r="L255" s="5" t="s">
        <v>46</v>
      </c>
      <c r="M255" s="1" t="s">
        <v>41</v>
      </c>
      <c r="N255" s="1" t="str">
        <f>YEAR(sales_data[[#This Row],[Date]]) &amp; "-" &amp; TEXT(MONTH(sales_data[[#This Row],[Date]]), "00")</f>
        <v>2023-06</v>
      </c>
      <c r="O255" s="1">
        <f xml:space="preserve"> (sales_data[[#This Row],[Sales]]* (100 - sales_data[[#This Row],[Discount]]))/100</f>
        <v>23794.642948933804</v>
      </c>
    </row>
    <row r="256" spans="1:15" x14ac:dyDescent="0.5">
      <c r="A256" s="1" t="s">
        <v>593</v>
      </c>
      <c r="B256" s="1" t="s">
        <v>50</v>
      </c>
      <c r="C256">
        <v>22200.072250266599</v>
      </c>
      <c r="D256">
        <v>0</v>
      </c>
      <c r="E256" s="2">
        <v>45091</v>
      </c>
      <c r="F256" s="1">
        <v>132</v>
      </c>
      <c r="G256" s="1">
        <v>11</v>
      </c>
      <c r="H256" s="1" t="s">
        <v>15</v>
      </c>
      <c r="I256" s="1" t="s">
        <v>33</v>
      </c>
      <c r="J256" s="1" t="s">
        <v>34</v>
      </c>
      <c r="K256" s="1" t="s">
        <v>25</v>
      </c>
      <c r="L256" s="5" t="s">
        <v>58</v>
      </c>
      <c r="M256" s="1" t="s">
        <v>48</v>
      </c>
      <c r="N256" s="1" t="str">
        <f>YEAR(sales_data[[#This Row],[Date]]) &amp; "-" &amp; TEXT(MONTH(sales_data[[#This Row],[Date]]), "00")</f>
        <v>2023-06</v>
      </c>
      <c r="O256" s="1">
        <f xml:space="preserve"> (sales_data[[#This Row],[Sales]]* (100 - sales_data[[#This Row],[Discount]]))/100</f>
        <v>22200.072250266603</v>
      </c>
    </row>
    <row r="257" spans="1:15" x14ac:dyDescent="0.5">
      <c r="A257" s="1" t="s">
        <v>505</v>
      </c>
      <c r="B257" s="1" t="s">
        <v>50</v>
      </c>
      <c r="C257">
        <v>21445.843219539001</v>
      </c>
      <c r="D257">
        <v>15</v>
      </c>
      <c r="E257" s="2">
        <v>45093</v>
      </c>
      <c r="F257" s="1">
        <v>109</v>
      </c>
      <c r="G257" s="1">
        <v>32</v>
      </c>
      <c r="H257" s="1" t="s">
        <v>15</v>
      </c>
      <c r="I257" s="1" t="s">
        <v>16</v>
      </c>
      <c r="J257" s="1" t="s">
        <v>17</v>
      </c>
      <c r="K257" s="1" t="s">
        <v>35</v>
      </c>
      <c r="L257" s="5" t="s">
        <v>19</v>
      </c>
      <c r="M257" s="1" t="s">
        <v>20</v>
      </c>
      <c r="N257" s="1" t="str">
        <f>YEAR(sales_data[[#This Row],[Date]]) &amp; "-" &amp; TEXT(MONTH(sales_data[[#This Row],[Date]]), "00")</f>
        <v>2023-06</v>
      </c>
      <c r="O257" s="1">
        <f xml:space="preserve"> (sales_data[[#This Row],[Sales]]* (100 - sales_data[[#This Row],[Discount]]))/100</f>
        <v>18228.966736608152</v>
      </c>
    </row>
    <row r="258" spans="1:15" x14ac:dyDescent="0.5">
      <c r="A258" s="1" t="s">
        <v>907</v>
      </c>
      <c r="B258" s="1" t="s">
        <v>50</v>
      </c>
      <c r="C258">
        <v>0</v>
      </c>
      <c r="D258">
        <v>0</v>
      </c>
      <c r="E258" s="2">
        <v>45093</v>
      </c>
      <c r="F258" s="1">
        <v>126</v>
      </c>
      <c r="G258" s="1">
        <v>90</v>
      </c>
      <c r="H258" s="1" t="s">
        <v>15</v>
      </c>
      <c r="I258" s="1" t="s">
        <v>33</v>
      </c>
      <c r="J258" s="1" t="s">
        <v>17</v>
      </c>
      <c r="K258" s="1" t="s">
        <v>25</v>
      </c>
      <c r="L258" s="5" t="s">
        <v>85</v>
      </c>
      <c r="M258" s="1" t="s">
        <v>27</v>
      </c>
      <c r="N258" s="1" t="str">
        <f>YEAR(sales_data[[#This Row],[Date]]) &amp; "-" &amp; TEXT(MONTH(sales_data[[#This Row],[Date]]), "00")</f>
        <v>2023-06</v>
      </c>
      <c r="O258" s="1">
        <f xml:space="preserve"> (sales_data[[#This Row],[Sales]]* (100 - sales_data[[#This Row],[Discount]]))/100</f>
        <v>0</v>
      </c>
    </row>
    <row r="259" spans="1:15" x14ac:dyDescent="0.5">
      <c r="A259" s="1" t="s">
        <v>279</v>
      </c>
      <c r="B259" s="1" t="s">
        <v>22</v>
      </c>
      <c r="C259">
        <v>16047.627722773401</v>
      </c>
      <c r="D259">
        <v>10</v>
      </c>
      <c r="E259" s="2">
        <v>45094</v>
      </c>
      <c r="F259" s="1">
        <v>121</v>
      </c>
      <c r="G259" s="1">
        <v>29</v>
      </c>
      <c r="H259" s="1" t="s">
        <v>38</v>
      </c>
      <c r="I259" s="1" t="s">
        <v>23</v>
      </c>
      <c r="J259" s="1" t="s">
        <v>34</v>
      </c>
      <c r="K259" s="1" t="s">
        <v>35</v>
      </c>
      <c r="L259" s="5" t="s">
        <v>19</v>
      </c>
      <c r="M259" s="1" t="s">
        <v>44</v>
      </c>
      <c r="N259" s="1" t="str">
        <f>YEAR(sales_data[[#This Row],[Date]]) &amp; "-" &amp; TEXT(MONTH(sales_data[[#This Row],[Date]]), "00")</f>
        <v>2023-06</v>
      </c>
      <c r="O259" s="1">
        <f xml:space="preserve"> (sales_data[[#This Row],[Sales]]* (100 - sales_data[[#This Row],[Discount]]))/100</f>
        <v>14442.864950496061</v>
      </c>
    </row>
    <row r="260" spans="1:15" x14ac:dyDescent="0.5">
      <c r="A260" s="1" t="s">
        <v>282</v>
      </c>
      <c r="B260" s="1" t="s">
        <v>50</v>
      </c>
      <c r="C260">
        <v>26727.100230774799</v>
      </c>
      <c r="D260">
        <v>10</v>
      </c>
      <c r="E260" s="2">
        <v>45095</v>
      </c>
      <c r="F260" s="1">
        <v>136</v>
      </c>
      <c r="G260" s="1">
        <v>83</v>
      </c>
      <c r="H260" s="1" t="s">
        <v>15</v>
      </c>
      <c r="I260" s="1" t="s">
        <v>23</v>
      </c>
      <c r="J260" s="1" t="s">
        <v>24</v>
      </c>
      <c r="K260" s="1" t="s">
        <v>35</v>
      </c>
      <c r="L260" s="5" t="s">
        <v>38</v>
      </c>
      <c r="M260" s="1" t="s">
        <v>55</v>
      </c>
      <c r="N260" s="1" t="str">
        <f>YEAR(sales_data[[#This Row],[Date]]) &amp; "-" &amp; TEXT(MONTH(sales_data[[#This Row],[Date]]), "00")</f>
        <v>2023-06</v>
      </c>
      <c r="O260" s="1">
        <f xml:space="preserve"> (sales_data[[#This Row],[Sales]]* (100 - sales_data[[#This Row],[Discount]]))/100</f>
        <v>24054.390207697321</v>
      </c>
    </row>
    <row r="261" spans="1:15" x14ac:dyDescent="0.5">
      <c r="A261" s="1" t="s">
        <v>900</v>
      </c>
      <c r="B261" s="1" t="s">
        <v>29</v>
      </c>
      <c r="C261">
        <v>18982.0981994881</v>
      </c>
      <c r="D261">
        <v>10</v>
      </c>
      <c r="E261" s="2">
        <v>45095</v>
      </c>
      <c r="F261" s="1">
        <v>166</v>
      </c>
      <c r="G261" s="1">
        <v>40</v>
      </c>
      <c r="H261" s="1" t="s">
        <v>15</v>
      </c>
      <c r="I261" s="1" t="s">
        <v>33</v>
      </c>
      <c r="J261" s="1" t="s">
        <v>24</v>
      </c>
      <c r="K261" s="1" t="s">
        <v>35</v>
      </c>
      <c r="L261" s="5" t="s">
        <v>54</v>
      </c>
      <c r="M261" s="1" t="s">
        <v>55</v>
      </c>
      <c r="N261" s="1" t="str">
        <f>YEAR(sales_data[[#This Row],[Date]]) &amp; "-" &amp; TEXT(MONTH(sales_data[[#This Row],[Date]]), "00")</f>
        <v>2023-06</v>
      </c>
      <c r="O261" s="1">
        <f xml:space="preserve"> (sales_data[[#This Row],[Sales]]* (100 - sales_data[[#This Row],[Discount]]))/100</f>
        <v>17083.88837953929</v>
      </c>
    </row>
    <row r="262" spans="1:15" x14ac:dyDescent="0.5">
      <c r="A262" s="1" t="s">
        <v>238</v>
      </c>
      <c r="B262" s="1" t="s">
        <v>14</v>
      </c>
      <c r="C262">
        <v>25718.770216034602</v>
      </c>
      <c r="D262">
        <v>5</v>
      </c>
      <c r="E262" s="2">
        <v>45096</v>
      </c>
      <c r="F262" s="1">
        <v>147</v>
      </c>
      <c r="G262" s="1">
        <v>98</v>
      </c>
      <c r="H262" s="1" t="s">
        <v>15</v>
      </c>
      <c r="I262" s="1" t="s">
        <v>23</v>
      </c>
      <c r="J262" s="1" t="s">
        <v>17</v>
      </c>
      <c r="K262" s="1" t="s">
        <v>25</v>
      </c>
      <c r="L262" s="5" t="s">
        <v>36</v>
      </c>
      <c r="M262" s="1" t="s">
        <v>27</v>
      </c>
      <c r="N262" s="1" t="str">
        <f>YEAR(sales_data[[#This Row],[Date]]) &amp; "-" &amp; TEXT(MONTH(sales_data[[#This Row],[Date]]), "00")</f>
        <v>2023-06</v>
      </c>
      <c r="O262" s="1">
        <f xml:space="preserve"> (sales_data[[#This Row],[Sales]]* (100 - sales_data[[#This Row],[Discount]]))/100</f>
        <v>24432.831705232871</v>
      </c>
    </row>
    <row r="263" spans="1:15" x14ac:dyDescent="0.5">
      <c r="A263" s="1" t="s">
        <v>290</v>
      </c>
      <c r="B263" s="1" t="s">
        <v>50</v>
      </c>
      <c r="C263">
        <v>0</v>
      </c>
      <c r="D263">
        <v>0</v>
      </c>
      <c r="E263" s="2">
        <v>45096</v>
      </c>
      <c r="F263" s="1">
        <v>102</v>
      </c>
      <c r="G263" s="1">
        <v>51</v>
      </c>
      <c r="H263" s="1" t="s">
        <v>15</v>
      </c>
      <c r="I263" s="1" t="s">
        <v>33</v>
      </c>
      <c r="J263" s="1" t="s">
        <v>17</v>
      </c>
      <c r="K263" s="1" t="s">
        <v>35</v>
      </c>
      <c r="L263" s="5" t="s">
        <v>54</v>
      </c>
      <c r="M263" s="1" t="s">
        <v>20</v>
      </c>
      <c r="N263" s="1" t="str">
        <f>YEAR(sales_data[[#This Row],[Date]]) &amp; "-" &amp; TEXT(MONTH(sales_data[[#This Row],[Date]]), "00")</f>
        <v>2023-06</v>
      </c>
      <c r="O263" s="1">
        <f xml:space="preserve"> (sales_data[[#This Row],[Sales]]* (100 - sales_data[[#This Row],[Discount]]))/100</f>
        <v>0</v>
      </c>
    </row>
    <row r="264" spans="1:15" x14ac:dyDescent="0.5">
      <c r="A264" s="1" t="s">
        <v>845</v>
      </c>
      <c r="B264" s="1" t="s">
        <v>29</v>
      </c>
      <c r="C264">
        <v>15087.563032308401</v>
      </c>
      <c r="D264">
        <v>0</v>
      </c>
      <c r="E264" s="2">
        <v>45096</v>
      </c>
      <c r="F264" s="1">
        <v>110</v>
      </c>
      <c r="G264" s="1">
        <v>5</v>
      </c>
      <c r="H264" s="1" t="s">
        <v>15</v>
      </c>
      <c r="I264" s="1" t="s">
        <v>16</v>
      </c>
      <c r="J264" s="1" t="s">
        <v>24</v>
      </c>
      <c r="K264" s="1" t="s">
        <v>35</v>
      </c>
      <c r="L264" s="5" t="s">
        <v>38</v>
      </c>
      <c r="M264" s="1" t="s">
        <v>48</v>
      </c>
      <c r="N264" s="1" t="str">
        <f>YEAR(sales_data[[#This Row],[Date]]) &amp; "-" &amp; TEXT(MONTH(sales_data[[#This Row],[Date]]), "00")</f>
        <v>2023-06</v>
      </c>
      <c r="O264" s="1">
        <f xml:space="preserve"> (sales_data[[#This Row],[Sales]]* (100 - sales_data[[#This Row],[Discount]]))/100</f>
        <v>15087.563032308401</v>
      </c>
    </row>
    <row r="265" spans="1:15" x14ac:dyDescent="0.5">
      <c r="A265" s="1" t="s">
        <v>448</v>
      </c>
      <c r="B265" s="1" t="s">
        <v>29</v>
      </c>
      <c r="C265">
        <v>11695.19533242</v>
      </c>
      <c r="D265">
        <v>15</v>
      </c>
      <c r="E265" s="2">
        <v>45097</v>
      </c>
      <c r="F265" s="1">
        <v>194</v>
      </c>
      <c r="G265" s="1">
        <v>25</v>
      </c>
      <c r="H265" s="1" t="s">
        <v>38</v>
      </c>
      <c r="I265" s="1" t="s">
        <v>23</v>
      </c>
      <c r="J265" s="1" t="s">
        <v>24</v>
      </c>
      <c r="K265" s="1" t="s">
        <v>25</v>
      </c>
      <c r="L265" s="5" t="s">
        <v>38</v>
      </c>
      <c r="M265" s="1" t="s">
        <v>20</v>
      </c>
      <c r="N265" s="1" t="str">
        <f>YEAR(sales_data[[#This Row],[Date]]) &amp; "-" &amp; TEXT(MONTH(sales_data[[#This Row],[Date]]), "00")</f>
        <v>2023-06</v>
      </c>
      <c r="O265" s="1">
        <f xml:space="preserve"> (sales_data[[#This Row],[Sales]]* (100 - sales_data[[#This Row],[Discount]]))/100</f>
        <v>9940.916032557001</v>
      </c>
    </row>
    <row r="266" spans="1:15" x14ac:dyDescent="0.5">
      <c r="A266" s="1" t="s">
        <v>159</v>
      </c>
      <c r="B266" s="1" t="s">
        <v>14</v>
      </c>
      <c r="C266">
        <v>24630.887737658199</v>
      </c>
      <c r="D266">
        <v>5</v>
      </c>
      <c r="E266" s="2">
        <v>45098</v>
      </c>
      <c r="F266" s="1">
        <v>115</v>
      </c>
      <c r="G266" s="1">
        <v>56</v>
      </c>
      <c r="H266" s="1" t="s">
        <v>15</v>
      </c>
      <c r="I266" s="1" t="s">
        <v>23</v>
      </c>
      <c r="J266" s="1" t="s">
        <v>17</v>
      </c>
      <c r="K266" s="1" t="s">
        <v>18</v>
      </c>
      <c r="L266" s="5" t="s">
        <v>38</v>
      </c>
      <c r="M266" s="1" t="s">
        <v>55</v>
      </c>
      <c r="N266" s="1" t="str">
        <f>YEAR(sales_data[[#This Row],[Date]]) &amp; "-" &amp; TEXT(MONTH(sales_data[[#This Row],[Date]]), "00")</f>
        <v>2023-06</v>
      </c>
      <c r="O266" s="1">
        <f xml:space="preserve"> (sales_data[[#This Row],[Sales]]* (100 - sales_data[[#This Row],[Discount]]))/100</f>
        <v>23399.343350775289</v>
      </c>
    </row>
    <row r="267" spans="1:15" x14ac:dyDescent="0.5">
      <c r="A267" s="1" t="s">
        <v>175</v>
      </c>
      <c r="B267" s="1" t="s">
        <v>22</v>
      </c>
      <c r="C267">
        <v>22504.585938121902</v>
      </c>
      <c r="D267">
        <v>0</v>
      </c>
      <c r="E267" s="2">
        <v>45098</v>
      </c>
      <c r="F267" s="1">
        <v>194</v>
      </c>
      <c r="G267" s="1">
        <v>6</v>
      </c>
      <c r="H267" s="1" t="s">
        <v>15</v>
      </c>
      <c r="I267" s="1" t="s">
        <v>16</v>
      </c>
      <c r="J267" s="1" t="s">
        <v>17</v>
      </c>
      <c r="K267" s="1" t="s">
        <v>25</v>
      </c>
      <c r="L267" s="5" t="s">
        <v>46</v>
      </c>
      <c r="M267" s="1" t="s">
        <v>31</v>
      </c>
      <c r="N267" s="1" t="str">
        <f>YEAR(sales_data[[#This Row],[Date]]) &amp; "-" &amp; TEXT(MONTH(sales_data[[#This Row],[Date]]), "00")</f>
        <v>2023-06</v>
      </c>
      <c r="O267" s="1">
        <f xml:space="preserve"> (sales_data[[#This Row],[Sales]]* (100 - sales_data[[#This Row],[Discount]]))/100</f>
        <v>22504.585938121902</v>
      </c>
    </row>
    <row r="268" spans="1:15" x14ac:dyDescent="0.5">
      <c r="A268" s="1" t="s">
        <v>980</v>
      </c>
      <c r="B268" s="1" t="s">
        <v>29</v>
      </c>
      <c r="C268">
        <v>22648.463771783601</v>
      </c>
      <c r="D268">
        <v>10</v>
      </c>
      <c r="E268" s="2">
        <v>45098</v>
      </c>
      <c r="F268" s="1">
        <v>114</v>
      </c>
      <c r="G268" s="1">
        <v>84</v>
      </c>
      <c r="H268" s="1" t="s">
        <v>15</v>
      </c>
      <c r="I268" s="1" t="s">
        <v>33</v>
      </c>
      <c r="J268" s="1" t="s">
        <v>24</v>
      </c>
      <c r="K268" s="1" t="s">
        <v>25</v>
      </c>
      <c r="L268" s="5" t="s">
        <v>54</v>
      </c>
      <c r="M268" s="1" t="s">
        <v>31</v>
      </c>
      <c r="N268" s="1" t="str">
        <f>YEAR(sales_data[[#This Row],[Date]]) &amp; "-" &amp; TEXT(MONTH(sales_data[[#This Row],[Date]]), "00")</f>
        <v>2023-06</v>
      </c>
      <c r="O268" s="1">
        <f xml:space="preserve"> (sales_data[[#This Row],[Sales]]* (100 - sales_data[[#This Row],[Discount]]))/100</f>
        <v>20383.61739460524</v>
      </c>
    </row>
    <row r="269" spans="1:15" x14ac:dyDescent="0.5">
      <c r="A269" s="1" t="s">
        <v>462</v>
      </c>
      <c r="B269" s="1" t="s">
        <v>50</v>
      </c>
      <c r="C269">
        <v>17688.6235564747</v>
      </c>
      <c r="D269">
        <v>0</v>
      </c>
      <c r="E269" s="2">
        <v>45099</v>
      </c>
      <c r="F269" s="1">
        <v>115</v>
      </c>
      <c r="G269" s="1">
        <v>49</v>
      </c>
      <c r="H269" s="1" t="s">
        <v>15</v>
      </c>
      <c r="I269" s="1" t="s">
        <v>23</v>
      </c>
      <c r="J269" s="1" t="s">
        <v>24</v>
      </c>
      <c r="K269" s="1" t="s">
        <v>35</v>
      </c>
      <c r="L269" s="5" t="s">
        <v>58</v>
      </c>
      <c r="M269" s="1" t="s">
        <v>31</v>
      </c>
      <c r="N269" s="1" t="str">
        <f>YEAR(sales_data[[#This Row],[Date]]) &amp; "-" &amp; TEXT(MONTH(sales_data[[#This Row],[Date]]), "00")</f>
        <v>2023-06</v>
      </c>
      <c r="O269" s="1">
        <f xml:space="preserve"> (sales_data[[#This Row],[Sales]]* (100 - sales_data[[#This Row],[Discount]]))/100</f>
        <v>17688.6235564747</v>
      </c>
    </row>
    <row r="270" spans="1:15" x14ac:dyDescent="0.5">
      <c r="A270" s="1" t="s">
        <v>471</v>
      </c>
      <c r="B270" s="1" t="s">
        <v>29</v>
      </c>
      <c r="C270">
        <v>27234.889421768599</v>
      </c>
      <c r="D270">
        <v>10</v>
      </c>
      <c r="E270" s="2">
        <v>45100</v>
      </c>
      <c r="F270" s="1">
        <v>189</v>
      </c>
      <c r="G270" s="1">
        <v>35</v>
      </c>
      <c r="H270" s="1" t="s">
        <v>15</v>
      </c>
      <c r="I270" s="1" t="s">
        <v>33</v>
      </c>
      <c r="J270" s="1" t="s">
        <v>17</v>
      </c>
      <c r="K270" s="1" t="s">
        <v>35</v>
      </c>
      <c r="L270" s="5" t="s">
        <v>30</v>
      </c>
      <c r="M270" s="1" t="s">
        <v>41</v>
      </c>
      <c r="N270" s="1" t="str">
        <f>YEAR(sales_data[[#This Row],[Date]]) &amp; "-" &amp; TEXT(MONTH(sales_data[[#This Row],[Date]]), "00")</f>
        <v>2023-06</v>
      </c>
      <c r="O270" s="1">
        <f xml:space="preserve"> (sales_data[[#This Row],[Sales]]* (100 - sales_data[[#This Row],[Discount]]))/100</f>
        <v>24511.400479591739</v>
      </c>
    </row>
    <row r="271" spans="1:15" x14ac:dyDescent="0.5">
      <c r="A271" s="1" t="s">
        <v>831</v>
      </c>
      <c r="B271" s="1" t="s">
        <v>14</v>
      </c>
      <c r="C271">
        <v>20521.005519759299</v>
      </c>
      <c r="D271">
        <v>5</v>
      </c>
      <c r="E271" s="2">
        <v>45100</v>
      </c>
      <c r="F271" s="1">
        <v>194</v>
      </c>
      <c r="G271" s="1">
        <v>43</v>
      </c>
      <c r="H271" s="1" t="s">
        <v>38</v>
      </c>
      <c r="I271" s="1" t="s">
        <v>33</v>
      </c>
      <c r="J271" s="1" t="s">
        <v>34</v>
      </c>
      <c r="K271" s="1" t="s">
        <v>18</v>
      </c>
      <c r="L271" s="5" t="s">
        <v>36</v>
      </c>
      <c r="M271" s="1" t="s">
        <v>48</v>
      </c>
      <c r="N271" s="1" t="str">
        <f>YEAR(sales_data[[#This Row],[Date]]) &amp; "-" &amp; TEXT(MONTH(sales_data[[#This Row],[Date]]), "00")</f>
        <v>2023-06</v>
      </c>
      <c r="O271" s="1">
        <f xml:space="preserve"> (sales_data[[#This Row],[Sales]]* (100 - sales_data[[#This Row],[Discount]]))/100</f>
        <v>19494.955243771336</v>
      </c>
    </row>
    <row r="272" spans="1:15" x14ac:dyDescent="0.5">
      <c r="A272" s="1" t="s">
        <v>892</v>
      </c>
      <c r="B272" s="1" t="s">
        <v>50</v>
      </c>
      <c r="C272">
        <v>32898.546688271497</v>
      </c>
      <c r="D272">
        <v>15</v>
      </c>
      <c r="E272" s="2">
        <v>45100</v>
      </c>
      <c r="F272" s="1">
        <v>165</v>
      </c>
      <c r="G272" s="1">
        <v>50</v>
      </c>
      <c r="H272" s="1" t="s">
        <v>15</v>
      </c>
      <c r="I272" s="1" t="s">
        <v>23</v>
      </c>
      <c r="J272" s="1" t="s">
        <v>17</v>
      </c>
      <c r="K272" s="1" t="s">
        <v>25</v>
      </c>
      <c r="L272" s="5" t="s">
        <v>46</v>
      </c>
      <c r="M272" s="1" t="s">
        <v>41</v>
      </c>
      <c r="N272" s="1" t="str">
        <f>YEAR(sales_data[[#This Row],[Date]]) &amp; "-" &amp; TEXT(MONTH(sales_data[[#This Row],[Date]]), "00")</f>
        <v>2023-06</v>
      </c>
      <c r="O272" s="1">
        <f xml:space="preserve"> (sales_data[[#This Row],[Sales]]* (100 - sales_data[[#This Row],[Discount]]))/100</f>
        <v>27963.764685030772</v>
      </c>
    </row>
    <row r="273" spans="1:15" x14ac:dyDescent="0.5">
      <c r="A273" s="1" t="s">
        <v>957</v>
      </c>
      <c r="B273" s="1" t="s">
        <v>29</v>
      </c>
      <c r="C273">
        <v>21336.961570359501</v>
      </c>
      <c r="D273">
        <v>15</v>
      </c>
      <c r="E273" s="2">
        <v>45100</v>
      </c>
      <c r="F273" s="1">
        <v>125</v>
      </c>
      <c r="G273" s="1">
        <v>20</v>
      </c>
      <c r="H273" s="1" t="s">
        <v>15</v>
      </c>
      <c r="I273" s="1" t="s">
        <v>23</v>
      </c>
      <c r="J273" s="1" t="s">
        <v>17</v>
      </c>
      <c r="K273" s="1" t="s">
        <v>18</v>
      </c>
      <c r="L273" s="5" t="s">
        <v>38</v>
      </c>
      <c r="M273" s="1" t="s">
        <v>41</v>
      </c>
      <c r="N273" s="1" t="str">
        <f>YEAR(sales_data[[#This Row],[Date]]) &amp; "-" &amp; TEXT(MONTH(sales_data[[#This Row],[Date]]), "00")</f>
        <v>2023-06</v>
      </c>
      <c r="O273" s="1">
        <f xml:space="preserve"> (sales_data[[#This Row],[Sales]]* (100 - sales_data[[#This Row],[Discount]]))/100</f>
        <v>18136.417334805577</v>
      </c>
    </row>
    <row r="274" spans="1:15" x14ac:dyDescent="0.5">
      <c r="A274" s="1" t="s">
        <v>784</v>
      </c>
      <c r="B274" s="1" t="s">
        <v>22</v>
      </c>
      <c r="C274">
        <v>14268.2730349065</v>
      </c>
      <c r="D274">
        <v>15</v>
      </c>
      <c r="E274" s="2">
        <v>45101</v>
      </c>
      <c r="F274" s="1">
        <v>153</v>
      </c>
      <c r="G274" s="1">
        <v>91</v>
      </c>
      <c r="H274" s="1" t="s">
        <v>15</v>
      </c>
      <c r="I274" s="1" t="s">
        <v>23</v>
      </c>
      <c r="J274" s="1" t="s">
        <v>34</v>
      </c>
      <c r="K274" s="1" t="s">
        <v>25</v>
      </c>
      <c r="L274" s="5" t="s">
        <v>43</v>
      </c>
      <c r="M274" s="1" t="s">
        <v>27</v>
      </c>
      <c r="N274" s="1" t="str">
        <f>YEAR(sales_data[[#This Row],[Date]]) &amp; "-" &amp; TEXT(MONTH(sales_data[[#This Row],[Date]]), "00")</f>
        <v>2023-06</v>
      </c>
      <c r="O274" s="1">
        <f xml:space="preserve"> (sales_data[[#This Row],[Sales]]* (100 - sales_data[[#This Row],[Discount]]))/100</f>
        <v>12128.032079670525</v>
      </c>
    </row>
    <row r="275" spans="1:15" x14ac:dyDescent="0.5">
      <c r="A275" s="1" t="s">
        <v>184</v>
      </c>
      <c r="B275" s="1" t="s">
        <v>29</v>
      </c>
      <c r="C275">
        <v>10975.589496677399</v>
      </c>
      <c r="D275">
        <v>5</v>
      </c>
      <c r="E275" s="2">
        <v>45102</v>
      </c>
      <c r="F275" s="1">
        <v>135</v>
      </c>
      <c r="G275" s="1">
        <v>62</v>
      </c>
      <c r="H275" s="1" t="s">
        <v>15</v>
      </c>
      <c r="I275" s="1" t="s">
        <v>16</v>
      </c>
      <c r="J275" s="1" t="s">
        <v>17</v>
      </c>
      <c r="K275" s="1" t="s">
        <v>35</v>
      </c>
      <c r="L275" s="5" t="s">
        <v>46</v>
      </c>
      <c r="M275" s="1" t="s">
        <v>44</v>
      </c>
      <c r="N275" s="1" t="str">
        <f>YEAR(sales_data[[#This Row],[Date]]) &amp; "-" &amp; TEXT(MONTH(sales_data[[#This Row],[Date]]), "00")</f>
        <v>2023-06</v>
      </c>
      <c r="O275" s="1">
        <f xml:space="preserve"> (sales_data[[#This Row],[Sales]]* (100 - sales_data[[#This Row],[Discount]]))/100</f>
        <v>10426.81002184353</v>
      </c>
    </row>
    <row r="276" spans="1:15" x14ac:dyDescent="0.5">
      <c r="A276" s="1" t="s">
        <v>685</v>
      </c>
      <c r="B276" s="1" t="s">
        <v>50</v>
      </c>
      <c r="C276">
        <v>20190.017390841</v>
      </c>
      <c r="D276">
        <v>15</v>
      </c>
      <c r="E276" s="2">
        <v>45102</v>
      </c>
      <c r="F276" s="1">
        <v>124</v>
      </c>
      <c r="G276" s="1">
        <v>42</v>
      </c>
      <c r="H276" s="1" t="s">
        <v>15</v>
      </c>
      <c r="I276" s="1" t="s">
        <v>16</v>
      </c>
      <c r="J276" s="1" t="s">
        <v>34</v>
      </c>
      <c r="K276" s="1" t="s">
        <v>35</v>
      </c>
      <c r="L276" s="5" t="s">
        <v>36</v>
      </c>
      <c r="M276" s="1" t="s">
        <v>44</v>
      </c>
      <c r="N276" s="1" t="str">
        <f>YEAR(sales_data[[#This Row],[Date]]) &amp; "-" &amp; TEXT(MONTH(sales_data[[#This Row],[Date]]), "00")</f>
        <v>2023-06</v>
      </c>
      <c r="O276" s="1">
        <f xml:space="preserve"> (sales_data[[#This Row],[Sales]]* (100 - sales_data[[#This Row],[Discount]]))/100</f>
        <v>17161.51478221485</v>
      </c>
    </row>
    <row r="277" spans="1:15" x14ac:dyDescent="0.5">
      <c r="A277" s="1" t="s">
        <v>561</v>
      </c>
      <c r="B277" s="1" t="s">
        <v>22</v>
      </c>
      <c r="C277">
        <v>20143.724114674002</v>
      </c>
      <c r="D277">
        <v>10</v>
      </c>
      <c r="E277" s="2">
        <v>45103</v>
      </c>
      <c r="F277" s="1">
        <v>126</v>
      </c>
      <c r="G277" s="1">
        <v>65</v>
      </c>
      <c r="H277" s="1" t="s">
        <v>15</v>
      </c>
      <c r="I277" s="1" t="s">
        <v>23</v>
      </c>
      <c r="J277" s="1" t="s">
        <v>24</v>
      </c>
      <c r="K277" s="1" t="s">
        <v>35</v>
      </c>
      <c r="L277" s="5" t="s">
        <v>38</v>
      </c>
      <c r="M277" s="1" t="s">
        <v>41</v>
      </c>
      <c r="N277" s="1" t="str">
        <f>YEAR(sales_data[[#This Row],[Date]]) &amp; "-" &amp; TEXT(MONTH(sales_data[[#This Row],[Date]]), "00")</f>
        <v>2023-06</v>
      </c>
      <c r="O277" s="1">
        <f xml:space="preserve"> (sales_data[[#This Row],[Sales]]* (100 - sales_data[[#This Row],[Discount]]))/100</f>
        <v>18129.351703206601</v>
      </c>
    </row>
    <row r="278" spans="1:15" x14ac:dyDescent="0.5">
      <c r="A278" s="1" t="s">
        <v>976</v>
      </c>
      <c r="B278" s="1" t="s">
        <v>22</v>
      </c>
      <c r="C278">
        <v>18473.876478226601</v>
      </c>
      <c r="D278">
        <v>5</v>
      </c>
      <c r="E278" s="2">
        <v>45103</v>
      </c>
      <c r="F278" s="1">
        <v>145</v>
      </c>
      <c r="G278" s="1">
        <v>10</v>
      </c>
      <c r="H278" s="1" t="s">
        <v>15</v>
      </c>
      <c r="I278" s="1" t="s">
        <v>16</v>
      </c>
      <c r="J278" s="1" t="s">
        <v>17</v>
      </c>
      <c r="K278" s="1" t="s">
        <v>25</v>
      </c>
      <c r="L278" s="5" t="s">
        <v>38</v>
      </c>
      <c r="M278" s="1" t="s">
        <v>41</v>
      </c>
      <c r="N278" s="1" t="str">
        <f>YEAR(sales_data[[#This Row],[Date]]) &amp; "-" &amp; TEXT(MONTH(sales_data[[#This Row],[Date]]), "00")</f>
        <v>2023-06</v>
      </c>
      <c r="O278" s="1">
        <f xml:space="preserve"> (sales_data[[#This Row],[Sales]]* (100 - sales_data[[#This Row],[Discount]]))/100</f>
        <v>17550.182654315271</v>
      </c>
    </row>
    <row r="279" spans="1:15" x14ac:dyDescent="0.5">
      <c r="A279" s="1" t="s">
        <v>213</v>
      </c>
      <c r="B279" s="1" t="s">
        <v>14</v>
      </c>
      <c r="C279">
        <v>21688.013310376002</v>
      </c>
      <c r="D279">
        <v>15</v>
      </c>
      <c r="E279" s="2">
        <v>45104</v>
      </c>
      <c r="F279" s="1">
        <v>106</v>
      </c>
      <c r="G279" s="1">
        <v>8</v>
      </c>
      <c r="H279" s="1" t="s">
        <v>15</v>
      </c>
      <c r="I279" s="1" t="s">
        <v>16</v>
      </c>
      <c r="J279" s="1" t="s">
        <v>24</v>
      </c>
      <c r="K279" s="1" t="s">
        <v>25</v>
      </c>
      <c r="L279" s="5" t="s">
        <v>85</v>
      </c>
      <c r="M279" s="1" t="s">
        <v>31</v>
      </c>
      <c r="N279" s="1" t="str">
        <f>YEAR(sales_data[[#This Row],[Date]]) &amp; "-" &amp; TEXT(MONTH(sales_data[[#This Row],[Date]]), "00")</f>
        <v>2023-06</v>
      </c>
      <c r="O279" s="1">
        <f xml:space="preserve"> (sales_data[[#This Row],[Sales]]* (100 - sales_data[[#This Row],[Discount]]))/100</f>
        <v>18434.811313819602</v>
      </c>
    </row>
    <row r="280" spans="1:15" x14ac:dyDescent="0.5">
      <c r="A280" s="1" t="s">
        <v>601</v>
      </c>
      <c r="B280" s="1" t="s">
        <v>22</v>
      </c>
      <c r="C280">
        <v>23251.005889793301</v>
      </c>
      <c r="D280">
        <v>0</v>
      </c>
      <c r="E280" s="2">
        <v>45105</v>
      </c>
      <c r="F280" s="1">
        <v>172</v>
      </c>
      <c r="G280" s="1">
        <v>66</v>
      </c>
      <c r="H280" s="1" t="s">
        <v>38</v>
      </c>
      <c r="I280" s="1" t="s">
        <v>16</v>
      </c>
      <c r="J280" s="1" t="s">
        <v>17</v>
      </c>
      <c r="K280" s="1" t="s">
        <v>25</v>
      </c>
      <c r="L280" s="5" t="s">
        <v>26</v>
      </c>
      <c r="M280" s="1" t="s">
        <v>48</v>
      </c>
      <c r="N280" s="1" t="str">
        <f>YEAR(sales_data[[#This Row],[Date]]) &amp; "-" &amp; TEXT(MONTH(sales_data[[#This Row],[Date]]), "00")</f>
        <v>2023-06</v>
      </c>
      <c r="O280" s="1">
        <f xml:space="preserve"> (sales_data[[#This Row],[Sales]]* (100 - sales_data[[#This Row],[Discount]]))/100</f>
        <v>23251.005889793298</v>
      </c>
    </row>
    <row r="281" spans="1:15" x14ac:dyDescent="0.5">
      <c r="A281" s="1" t="s">
        <v>630</v>
      </c>
      <c r="B281" s="1" t="s">
        <v>14</v>
      </c>
      <c r="C281">
        <v>16594.741712625499</v>
      </c>
      <c r="D281">
        <v>0</v>
      </c>
      <c r="E281" s="2">
        <v>45105</v>
      </c>
      <c r="F281" s="1">
        <v>153</v>
      </c>
      <c r="G281" s="1">
        <v>59</v>
      </c>
      <c r="H281" s="1" t="s">
        <v>15</v>
      </c>
      <c r="I281" s="1" t="s">
        <v>33</v>
      </c>
      <c r="J281" s="1" t="s">
        <v>24</v>
      </c>
      <c r="K281" s="1" t="s">
        <v>18</v>
      </c>
      <c r="L281" s="5" t="s">
        <v>30</v>
      </c>
      <c r="M281" s="1" t="s">
        <v>27</v>
      </c>
      <c r="N281" s="1" t="str">
        <f>YEAR(sales_data[[#This Row],[Date]]) &amp; "-" &amp; TEXT(MONTH(sales_data[[#This Row],[Date]]), "00")</f>
        <v>2023-06</v>
      </c>
      <c r="O281" s="1">
        <f xml:space="preserve"> (sales_data[[#This Row],[Sales]]* (100 - sales_data[[#This Row],[Discount]]))/100</f>
        <v>16594.741712625499</v>
      </c>
    </row>
    <row r="282" spans="1:15" x14ac:dyDescent="0.5">
      <c r="A282" s="1" t="s">
        <v>79</v>
      </c>
      <c r="B282" s="1" t="s">
        <v>29</v>
      </c>
      <c r="C282">
        <v>28776.704212215998</v>
      </c>
      <c r="D282">
        <v>0</v>
      </c>
      <c r="E282" s="2">
        <v>45106</v>
      </c>
      <c r="F282" s="1">
        <v>150</v>
      </c>
      <c r="G282" s="1">
        <v>96</v>
      </c>
      <c r="H282" s="1" t="s">
        <v>15</v>
      </c>
      <c r="I282" s="1" t="s">
        <v>33</v>
      </c>
      <c r="J282" s="1" t="s">
        <v>24</v>
      </c>
      <c r="K282" s="1" t="s">
        <v>25</v>
      </c>
      <c r="L282" s="5" t="s">
        <v>36</v>
      </c>
      <c r="M282" s="1" t="s">
        <v>41</v>
      </c>
      <c r="N282" s="1" t="str">
        <f>YEAR(sales_data[[#This Row],[Date]]) &amp; "-" &amp; TEXT(MONTH(sales_data[[#This Row],[Date]]), "00")</f>
        <v>2023-06</v>
      </c>
      <c r="O282" s="1">
        <f xml:space="preserve"> (sales_data[[#This Row],[Sales]]* (100 - sales_data[[#This Row],[Discount]]))/100</f>
        <v>28776.704212215998</v>
      </c>
    </row>
    <row r="283" spans="1:15" x14ac:dyDescent="0.5">
      <c r="A283" s="1" t="s">
        <v>972</v>
      </c>
      <c r="B283" s="1" t="s">
        <v>22</v>
      </c>
      <c r="C283">
        <v>22789.051531759302</v>
      </c>
      <c r="D283">
        <v>5</v>
      </c>
      <c r="E283" s="2">
        <v>45107</v>
      </c>
      <c r="F283" s="1">
        <v>192</v>
      </c>
      <c r="G283" s="1">
        <v>34</v>
      </c>
      <c r="H283" s="1" t="s">
        <v>15</v>
      </c>
      <c r="I283" s="1" t="s">
        <v>33</v>
      </c>
      <c r="J283" s="1" t="s">
        <v>34</v>
      </c>
      <c r="K283" s="1" t="s">
        <v>35</v>
      </c>
      <c r="L283" s="5" t="s">
        <v>38</v>
      </c>
      <c r="M283" s="1" t="s">
        <v>20</v>
      </c>
      <c r="N283" s="1" t="str">
        <f>YEAR(sales_data[[#This Row],[Date]]) &amp; "-" &amp; TEXT(MONTH(sales_data[[#This Row],[Date]]), "00")</f>
        <v>2023-06</v>
      </c>
      <c r="O283" s="1">
        <f xml:space="preserve"> (sales_data[[#This Row],[Sales]]* (100 - sales_data[[#This Row],[Discount]]))/100</f>
        <v>21649.598955171336</v>
      </c>
    </row>
    <row r="284" spans="1:15" x14ac:dyDescent="0.5">
      <c r="A284" s="1" t="s">
        <v>758</v>
      </c>
      <c r="B284" s="1" t="s">
        <v>40</v>
      </c>
      <c r="C284">
        <v>21732.442379489901</v>
      </c>
      <c r="D284">
        <v>0</v>
      </c>
      <c r="E284" s="2">
        <v>45108</v>
      </c>
      <c r="F284" s="1">
        <v>131</v>
      </c>
      <c r="G284" s="1">
        <v>5</v>
      </c>
      <c r="H284" s="1" t="s">
        <v>15</v>
      </c>
      <c r="I284" s="1" t="s">
        <v>23</v>
      </c>
      <c r="J284" s="1" t="s">
        <v>34</v>
      </c>
      <c r="K284" s="1" t="s">
        <v>35</v>
      </c>
      <c r="L284" s="5" t="s">
        <v>19</v>
      </c>
      <c r="M284" s="1" t="s">
        <v>44</v>
      </c>
      <c r="N284" s="1" t="str">
        <f>YEAR(sales_data[[#This Row],[Date]]) &amp; "-" &amp; TEXT(MONTH(sales_data[[#This Row],[Date]]), "00")</f>
        <v>2023-07</v>
      </c>
      <c r="O284" s="1">
        <f xml:space="preserve"> (sales_data[[#This Row],[Sales]]* (100 - sales_data[[#This Row],[Discount]]))/100</f>
        <v>21732.442379489901</v>
      </c>
    </row>
    <row r="285" spans="1:15" x14ac:dyDescent="0.5">
      <c r="A285" s="1" t="s">
        <v>478</v>
      </c>
      <c r="B285" s="1" t="s">
        <v>22</v>
      </c>
      <c r="C285">
        <v>25327.401875326701</v>
      </c>
      <c r="D285">
        <v>10</v>
      </c>
      <c r="E285" s="2">
        <v>45109</v>
      </c>
      <c r="F285" s="1">
        <v>107</v>
      </c>
      <c r="G285" s="1">
        <v>81</v>
      </c>
      <c r="H285" s="1" t="s">
        <v>15</v>
      </c>
      <c r="I285" s="1" t="s">
        <v>23</v>
      </c>
      <c r="J285" s="1" t="s">
        <v>24</v>
      </c>
      <c r="K285" s="1" t="s">
        <v>18</v>
      </c>
      <c r="L285" s="5" t="s">
        <v>36</v>
      </c>
      <c r="M285" s="1" t="s">
        <v>27</v>
      </c>
      <c r="N285" s="1" t="str">
        <f>YEAR(sales_data[[#This Row],[Date]]) &amp; "-" &amp; TEXT(MONTH(sales_data[[#This Row],[Date]]), "00")</f>
        <v>2023-07</v>
      </c>
      <c r="O285" s="1">
        <f xml:space="preserve"> (sales_data[[#This Row],[Sales]]* (100 - sales_data[[#This Row],[Discount]]))/100</f>
        <v>22794.661687794029</v>
      </c>
    </row>
    <row r="286" spans="1:15" x14ac:dyDescent="0.5">
      <c r="A286" s="1" t="s">
        <v>513</v>
      </c>
      <c r="B286" s="1" t="s">
        <v>29</v>
      </c>
      <c r="C286">
        <v>27102.521239949201</v>
      </c>
      <c r="D286">
        <v>0</v>
      </c>
      <c r="E286" s="2">
        <v>45109</v>
      </c>
      <c r="F286" s="1">
        <v>149</v>
      </c>
      <c r="G286" s="1">
        <v>11</v>
      </c>
      <c r="H286" s="1" t="s">
        <v>38</v>
      </c>
      <c r="I286" s="1" t="s">
        <v>33</v>
      </c>
      <c r="J286" s="1" t="s">
        <v>17</v>
      </c>
      <c r="K286" s="1" t="s">
        <v>25</v>
      </c>
      <c r="L286" s="5" t="s">
        <v>38</v>
      </c>
      <c r="M286" s="1" t="s">
        <v>44</v>
      </c>
      <c r="N286" s="1" t="str">
        <f>YEAR(sales_data[[#This Row],[Date]]) &amp; "-" &amp; TEXT(MONTH(sales_data[[#This Row],[Date]]), "00")</f>
        <v>2023-07</v>
      </c>
      <c r="O286" s="1">
        <f xml:space="preserve"> (sales_data[[#This Row],[Sales]]* (100 - sales_data[[#This Row],[Discount]]))/100</f>
        <v>27102.521239949201</v>
      </c>
    </row>
    <row r="287" spans="1:15" x14ac:dyDescent="0.5">
      <c r="A287" s="1" t="s">
        <v>244</v>
      </c>
      <c r="B287" s="1" t="s">
        <v>14</v>
      </c>
      <c r="C287">
        <v>21241.102931501599</v>
      </c>
      <c r="D287">
        <v>10</v>
      </c>
      <c r="E287" s="2">
        <v>45110</v>
      </c>
      <c r="F287" s="1">
        <v>149</v>
      </c>
      <c r="G287" s="1">
        <v>74</v>
      </c>
      <c r="H287" s="1" t="s">
        <v>15</v>
      </c>
      <c r="I287" s="1" t="s">
        <v>33</v>
      </c>
      <c r="J287" s="1" t="s">
        <v>24</v>
      </c>
      <c r="K287" s="1" t="s">
        <v>18</v>
      </c>
      <c r="L287" s="5" t="s">
        <v>36</v>
      </c>
      <c r="M287" s="1" t="s">
        <v>20</v>
      </c>
      <c r="N287" s="1" t="str">
        <f>YEAR(sales_data[[#This Row],[Date]]) &amp; "-" &amp; TEXT(MONTH(sales_data[[#This Row],[Date]]), "00")</f>
        <v>2023-07</v>
      </c>
      <c r="O287" s="1">
        <f xml:space="preserve"> (sales_data[[#This Row],[Sales]]* (100 - sales_data[[#This Row],[Discount]]))/100</f>
        <v>19116.992638351439</v>
      </c>
    </row>
    <row r="288" spans="1:15" x14ac:dyDescent="0.5">
      <c r="A288" s="1" t="s">
        <v>393</v>
      </c>
      <c r="B288" s="1" t="s">
        <v>22</v>
      </c>
      <c r="C288">
        <v>25145.778186628198</v>
      </c>
      <c r="D288">
        <v>15</v>
      </c>
      <c r="E288" s="2">
        <v>45110</v>
      </c>
      <c r="F288" s="1">
        <v>179</v>
      </c>
      <c r="G288" s="1">
        <v>85</v>
      </c>
      <c r="H288" s="1" t="s">
        <v>15</v>
      </c>
      <c r="I288" s="1" t="s">
        <v>16</v>
      </c>
      <c r="J288" s="1" t="s">
        <v>34</v>
      </c>
      <c r="K288" s="1" t="s">
        <v>18</v>
      </c>
      <c r="L288" s="5" t="s">
        <v>54</v>
      </c>
      <c r="M288" s="1" t="s">
        <v>48</v>
      </c>
      <c r="N288" s="1" t="str">
        <f>YEAR(sales_data[[#This Row],[Date]]) &amp; "-" &amp; TEXT(MONTH(sales_data[[#This Row],[Date]]), "00")</f>
        <v>2023-07</v>
      </c>
      <c r="O288" s="1">
        <f xml:space="preserve"> (sales_data[[#This Row],[Sales]]* (100 - sales_data[[#This Row],[Discount]]))/100</f>
        <v>21373.911458633971</v>
      </c>
    </row>
    <row r="289" spans="1:15" x14ac:dyDescent="0.5">
      <c r="A289" s="1" t="s">
        <v>528</v>
      </c>
      <c r="B289" s="1" t="s">
        <v>40</v>
      </c>
      <c r="C289">
        <v>30051.022693831699</v>
      </c>
      <c r="D289">
        <v>5</v>
      </c>
      <c r="E289" s="2">
        <v>45111</v>
      </c>
      <c r="F289" s="1">
        <v>130</v>
      </c>
      <c r="G289" s="1">
        <v>67</v>
      </c>
      <c r="H289" s="1" t="s">
        <v>38</v>
      </c>
      <c r="I289" s="1" t="s">
        <v>23</v>
      </c>
      <c r="J289" s="1" t="s">
        <v>24</v>
      </c>
      <c r="K289" s="1" t="s">
        <v>25</v>
      </c>
      <c r="L289" s="5" t="s">
        <v>46</v>
      </c>
      <c r="M289" s="1" t="s">
        <v>27</v>
      </c>
      <c r="N289" s="1" t="str">
        <f>YEAR(sales_data[[#This Row],[Date]]) &amp; "-" &amp; TEXT(MONTH(sales_data[[#This Row],[Date]]), "00")</f>
        <v>2023-07</v>
      </c>
      <c r="O289" s="1">
        <f xml:space="preserve"> (sales_data[[#This Row],[Sales]]* (100 - sales_data[[#This Row],[Discount]]))/100</f>
        <v>28548.471559140115</v>
      </c>
    </row>
    <row r="290" spans="1:15" x14ac:dyDescent="0.5">
      <c r="A290" s="1" t="s">
        <v>858</v>
      </c>
      <c r="B290" s="1" t="s">
        <v>22</v>
      </c>
      <c r="C290">
        <v>26820.702149869201</v>
      </c>
      <c r="D290">
        <v>15</v>
      </c>
      <c r="E290" s="2">
        <v>45111</v>
      </c>
      <c r="F290" s="1">
        <v>116</v>
      </c>
      <c r="G290" s="1">
        <v>11</v>
      </c>
      <c r="H290" s="1" t="s">
        <v>15</v>
      </c>
      <c r="I290" s="1" t="s">
        <v>33</v>
      </c>
      <c r="J290" s="1" t="s">
        <v>17</v>
      </c>
      <c r="K290" s="1" t="s">
        <v>35</v>
      </c>
      <c r="L290" s="5" t="s">
        <v>36</v>
      </c>
      <c r="M290" s="1" t="s">
        <v>31</v>
      </c>
      <c r="N290" s="1" t="str">
        <f>YEAR(sales_data[[#This Row],[Date]]) &amp; "-" &amp; TEXT(MONTH(sales_data[[#This Row],[Date]]), "00")</f>
        <v>2023-07</v>
      </c>
      <c r="O290" s="1">
        <f xml:space="preserve"> (sales_data[[#This Row],[Sales]]* (100 - sales_data[[#This Row],[Discount]]))/100</f>
        <v>22797.596827388821</v>
      </c>
    </row>
    <row r="291" spans="1:15" x14ac:dyDescent="0.5">
      <c r="A291" s="1" t="s">
        <v>321</v>
      </c>
      <c r="B291" s="1" t="s">
        <v>29</v>
      </c>
      <c r="C291">
        <v>19836.233648919999</v>
      </c>
      <c r="D291">
        <v>5</v>
      </c>
      <c r="E291" s="2">
        <v>45114</v>
      </c>
      <c r="F291" s="1">
        <v>104</v>
      </c>
      <c r="G291" s="1">
        <v>35</v>
      </c>
      <c r="H291" s="1" t="s">
        <v>15</v>
      </c>
      <c r="I291" s="1" t="s">
        <v>33</v>
      </c>
      <c r="J291" s="1" t="s">
        <v>24</v>
      </c>
      <c r="K291" s="1" t="s">
        <v>18</v>
      </c>
      <c r="L291" s="5" t="s">
        <v>58</v>
      </c>
      <c r="M291" s="1" t="s">
        <v>27</v>
      </c>
      <c r="N291" s="1" t="str">
        <f>YEAR(sales_data[[#This Row],[Date]]) &amp; "-" &amp; TEXT(MONTH(sales_data[[#This Row],[Date]]), "00")</f>
        <v>2023-07</v>
      </c>
      <c r="O291" s="1">
        <f xml:space="preserve"> (sales_data[[#This Row],[Sales]]* (100 - sales_data[[#This Row],[Discount]]))/100</f>
        <v>18844.421966473998</v>
      </c>
    </row>
    <row r="292" spans="1:15" x14ac:dyDescent="0.5">
      <c r="A292" s="1" t="s">
        <v>335</v>
      </c>
      <c r="B292" s="1" t="s">
        <v>29</v>
      </c>
      <c r="C292">
        <v>14447.1207726708</v>
      </c>
      <c r="D292">
        <v>15</v>
      </c>
      <c r="E292" s="2">
        <v>45114</v>
      </c>
      <c r="F292" s="1">
        <v>191</v>
      </c>
      <c r="G292" s="1">
        <v>41</v>
      </c>
      <c r="H292" s="1" t="s">
        <v>15</v>
      </c>
      <c r="I292" s="1" t="s">
        <v>16</v>
      </c>
      <c r="J292" s="1" t="s">
        <v>24</v>
      </c>
      <c r="K292" s="1" t="s">
        <v>18</v>
      </c>
      <c r="L292" s="5" t="s">
        <v>30</v>
      </c>
      <c r="M292" s="1" t="s">
        <v>44</v>
      </c>
      <c r="N292" s="1" t="str">
        <f>YEAR(sales_data[[#This Row],[Date]]) &amp; "-" &amp; TEXT(MONTH(sales_data[[#This Row],[Date]]), "00")</f>
        <v>2023-07</v>
      </c>
      <c r="O292" s="1">
        <f xml:space="preserve"> (sales_data[[#This Row],[Sales]]* (100 - sales_data[[#This Row],[Discount]]))/100</f>
        <v>12280.052656770182</v>
      </c>
    </row>
    <row r="293" spans="1:15" x14ac:dyDescent="0.5">
      <c r="A293" s="1" t="s">
        <v>636</v>
      </c>
      <c r="B293" s="1" t="s">
        <v>22</v>
      </c>
      <c r="C293">
        <v>7880.60336685521</v>
      </c>
      <c r="D293">
        <v>0</v>
      </c>
      <c r="E293" s="2">
        <v>45114</v>
      </c>
      <c r="F293" s="1">
        <v>144</v>
      </c>
      <c r="G293" s="1">
        <v>95</v>
      </c>
      <c r="H293" s="1" t="s">
        <v>38</v>
      </c>
      <c r="I293" s="1" t="s">
        <v>33</v>
      </c>
      <c r="J293" s="1" t="s">
        <v>24</v>
      </c>
      <c r="K293" s="1" t="s">
        <v>35</v>
      </c>
      <c r="L293" s="5" t="s">
        <v>46</v>
      </c>
      <c r="M293" s="1" t="s">
        <v>48</v>
      </c>
      <c r="N293" s="1" t="str">
        <f>YEAR(sales_data[[#This Row],[Date]]) &amp; "-" &amp; TEXT(MONTH(sales_data[[#This Row],[Date]]), "00")</f>
        <v>2023-07</v>
      </c>
      <c r="O293" s="1">
        <f xml:space="preserve"> (sales_data[[#This Row],[Sales]]* (100 - sales_data[[#This Row],[Discount]]))/100</f>
        <v>7880.6033668552091</v>
      </c>
    </row>
    <row r="294" spans="1:15" x14ac:dyDescent="0.5">
      <c r="A294" s="1" t="s">
        <v>304</v>
      </c>
      <c r="B294" s="1" t="s">
        <v>14</v>
      </c>
      <c r="C294">
        <v>18636.382151261601</v>
      </c>
      <c r="D294">
        <v>10</v>
      </c>
      <c r="E294" s="2">
        <v>45115</v>
      </c>
      <c r="F294" s="1">
        <v>123</v>
      </c>
      <c r="G294" s="1">
        <v>36</v>
      </c>
      <c r="H294" s="1" t="s">
        <v>15</v>
      </c>
      <c r="I294" s="1" t="s">
        <v>23</v>
      </c>
      <c r="J294" s="1" t="s">
        <v>24</v>
      </c>
      <c r="K294" s="1" t="s">
        <v>25</v>
      </c>
      <c r="L294" s="5" t="s">
        <v>54</v>
      </c>
      <c r="M294" s="1" t="s">
        <v>41</v>
      </c>
      <c r="N294" s="1" t="str">
        <f>YEAR(sales_data[[#This Row],[Date]]) &amp; "-" &amp; TEXT(MONTH(sales_data[[#This Row],[Date]]), "00")</f>
        <v>2023-07</v>
      </c>
      <c r="O294" s="1">
        <f xml:space="preserve"> (sales_data[[#This Row],[Sales]]* (100 - sales_data[[#This Row],[Discount]]))/100</f>
        <v>16772.743936135441</v>
      </c>
    </row>
    <row r="295" spans="1:15" x14ac:dyDescent="0.5">
      <c r="A295" s="1" t="s">
        <v>604</v>
      </c>
      <c r="B295" s="1" t="s">
        <v>50</v>
      </c>
      <c r="C295">
        <v>14649.5761683692</v>
      </c>
      <c r="D295">
        <v>5</v>
      </c>
      <c r="E295" s="2">
        <v>45115</v>
      </c>
      <c r="F295" s="1">
        <v>182</v>
      </c>
      <c r="G295" s="1">
        <v>22</v>
      </c>
      <c r="H295" s="1" t="s">
        <v>15</v>
      </c>
      <c r="I295" s="1" t="s">
        <v>16</v>
      </c>
      <c r="J295" s="1" t="s">
        <v>17</v>
      </c>
      <c r="K295" s="1" t="s">
        <v>25</v>
      </c>
      <c r="L295" s="5" t="s">
        <v>30</v>
      </c>
      <c r="M295" s="1" t="s">
        <v>41</v>
      </c>
      <c r="N295" s="1" t="str">
        <f>YEAR(sales_data[[#This Row],[Date]]) &amp; "-" &amp; TEXT(MONTH(sales_data[[#This Row],[Date]]), "00")</f>
        <v>2023-07</v>
      </c>
      <c r="O295" s="1">
        <f xml:space="preserve"> (sales_data[[#This Row],[Sales]]* (100 - sales_data[[#This Row],[Discount]]))/100</f>
        <v>13917.09735995074</v>
      </c>
    </row>
    <row r="296" spans="1:15" x14ac:dyDescent="0.5">
      <c r="A296" s="1" t="s">
        <v>866</v>
      </c>
      <c r="B296" s="1" t="s">
        <v>22</v>
      </c>
      <c r="C296">
        <v>16685.4954122452</v>
      </c>
      <c r="D296">
        <v>10</v>
      </c>
      <c r="E296" s="2">
        <v>45115</v>
      </c>
      <c r="F296" s="1">
        <v>193</v>
      </c>
      <c r="G296" s="1">
        <v>75</v>
      </c>
      <c r="H296" s="1" t="s">
        <v>15</v>
      </c>
      <c r="I296" s="1" t="s">
        <v>16</v>
      </c>
      <c r="J296" s="1" t="s">
        <v>24</v>
      </c>
      <c r="K296" s="1" t="s">
        <v>25</v>
      </c>
      <c r="L296" s="5" t="s">
        <v>58</v>
      </c>
      <c r="M296" s="1" t="s">
        <v>31</v>
      </c>
      <c r="N296" s="1" t="str">
        <f>YEAR(sales_data[[#This Row],[Date]]) &amp; "-" &amp; TEXT(MONTH(sales_data[[#This Row],[Date]]), "00")</f>
        <v>2023-07</v>
      </c>
      <c r="O296" s="1">
        <f xml:space="preserve"> (sales_data[[#This Row],[Sales]]* (100 - sales_data[[#This Row],[Discount]]))/100</f>
        <v>15016.945871020678</v>
      </c>
    </row>
    <row r="297" spans="1:15" x14ac:dyDescent="0.5">
      <c r="A297" s="1" t="s">
        <v>1043</v>
      </c>
      <c r="B297" s="1" t="s">
        <v>22</v>
      </c>
      <c r="C297">
        <v>23710.476860046499</v>
      </c>
      <c r="D297">
        <v>0</v>
      </c>
      <c r="E297" s="2">
        <v>45115</v>
      </c>
      <c r="F297" s="1">
        <v>199</v>
      </c>
      <c r="G297" s="1">
        <v>48</v>
      </c>
      <c r="H297" s="1" t="s">
        <v>15</v>
      </c>
      <c r="I297" s="1" t="s">
        <v>16</v>
      </c>
      <c r="J297" s="1" t="s">
        <v>24</v>
      </c>
      <c r="K297" s="1" t="s">
        <v>25</v>
      </c>
      <c r="L297" s="5" t="s">
        <v>46</v>
      </c>
      <c r="M297" s="1" t="s">
        <v>41</v>
      </c>
      <c r="N297" s="1" t="str">
        <f>YEAR(sales_data[[#This Row],[Date]]) &amp; "-" &amp; TEXT(MONTH(sales_data[[#This Row],[Date]]), "00")</f>
        <v>2023-07</v>
      </c>
      <c r="O297" s="1">
        <f xml:space="preserve"> (sales_data[[#This Row],[Sales]]* (100 - sales_data[[#This Row],[Discount]]))/100</f>
        <v>23710.476860046499</v>
      </c>
    </row>
    <row r="298" spans="1:15" x14ac:dyDescent="0.5">
      <c r="A298" s="1" t="s">
        <v>805</v>
      </c>
      <c r="B298" s="1" t="s">
        <v>22</v>
      </c>
      <c r="C298">
        <v>0</v>
      </c>
      <c r="D298">
        <v>15</v>
      </c>
      <c r="E298" s="2">
        <v>45116</v>
      </c>
      <c r="F298" s="1">
        <v>145</v>
      </c>
      <c r="G298" s="1">
        <v>38</v>
      </c>
      <c r="H298" s="1" t="s">
        <v>38</v>
      </c>
      <c r="I298" s="1" t="s">
        <v>23</v>
      </c>
      <c r="J298" s="1" t="s">
        <v>17</v>
      </c>
      <c r="K298" s="1" t="s">
        <v>25</v>
      </c>
      <c r="L298" s="5" t="s">
        <v>30</v>
      </c>
      <c r="M298" s="1" t="s">
        <v>20</v>
      </c>
      <c r="N298" s="1" t="str">
        <f>YEAR(sales_data[[#This Row],[Date]]) &amp; "-" &amp; TEXT(MONTH(sales_data[[#This Row],[Date]]), "00")</f>
        <v>2023-07</v>
      </c>
      <c r="O298" s="1">
        <f xml:space="preserve"> (sales_data[[#This Row],[Sales]]* (100 - sales_data[[#This Row],[Discount]]))/100</f>
        <v>0</v>
      </c>
    </row>
    <row r="299" spans="1:15" x14ac:dyDescent="0.5">
      <c r="A299" s="1" t="s">
        <v>755</v>
      </c>
      <c r="B299" s="1" t="s">
        <v>14</v>
      </c>
      <c r="C299">
        <v>20393.175951580401</v>
      </c>
      <c r="D299">
        <v>10</v>
      </c>
      <c r="E299" s="2">
        <v>45117</v>
      </c>
      <c r="F299" s="1">
        <v>149</v>
      </c>
      <c r="G299" s="1">
        <v>96</v>
      </c>
      <c r="H299" s="1" t="s">
        <v>15</v>
      </c>
      <c r="I299" s="1" t="s">
        <v>23</v>
      </c>
      <c r="J299" s="1" t="s">
        <v>34</v>
      </c>
      <c r="K299" s="1" t="s">
        <v>25</v>
      </c>
      <c r="L299" s="5" t="s">
        <v>85</v>
      </c>
      <c r="M299" s="1" t="s">
        <v>20</v>
      </c>
      <c r="N299" s="1" t="str">
        <f>YEAR(sales_data[[#This Row],[Date]]) &amp; "-" &amp; TEXT(MONTH(sales_data[[#This Row],[Date]]), "00")</f>
        <v>2023-07</v>
      </c>
      <c r="O299" s="1">
        <f xml:space="preserve"> (sales_data[[#This Row],[Sales]]* (100 - sales_data[[#This Row],[Discount]]))/100</f>
        <v>18353.858356422359</v>
      </c>
    </row>
    <row r="300" spans="1:15" x14ac:dyDescent="0.5">
      <c r="A300" s="1" t="s">
        <v>259</v>
      </c>
      <c r="B300" s="1" t="s">
        <v>14</v>
      </c>
      <c r="C300">
        <v>23784.943083226699</v>
      </c>
      <c r="D300">
        <v>15</v>
      </c>
      <c r="E300" s="2">
        <v>45118</v>
      </c>
      <c r="F300" s="1">
        <v>149</v>
      </c>
      <c r="G300" s="1">
        <v>84</v>
      </c>
      <c r="H300" s="1" t="s">
        <v>15</v>
      </c>
      <c r="I300" s="1" t="s">
        <v>23</v>
      </c>
      <c r="J300" s="1" t="s">
        <v>34</v>
      </c>
      <c r="K300" s="1" t="s">
        <v>35</v>
      </c>
      <c r="L300" s="5" t="s">
        <v>43</v>
      </c>
      <c r="M300" s="1" t="s">
        <v>20</v>
      </c>
      <c r="N300" s="1" t="str">
        <f>YEAR(sales_data[[#This Row],[Date]]) &amp; "-" &amp; TEXT(MONTH(sales_data[[#This Row],[Date]]), "00")</f>
        <v>2023-07</v>
      </c>
      <c r="O300" s="1">
        <f xml:space="preserve"> (sales_data[[#This Row],[Sales]]* (100 - sales_data[[#This Row],[Discount]]))/100</f>
        <v>20217.201620742693</v>
      </c>
    </row>
    <row r="301" spans="1:15" x14ac:dyDescent="0.5">
      <c r="A301" s="1" t="s">
        <v>284</v>
      </c>
      <c r="B301" s="1" t="s">
        <v>22</v>
      </c>
      <c r="C301">
        <v>17443.921617844</v>
      </c>
      <c r="D301">
        <v>5</v>
      </c>
      <c r="E301" s="2">
        <v>45118</v>
      </c>
      <c r="F301" s="1">
        <v>112</v>
      </c>
      <c r="G301" s="1">
        <v>89</v>
      </c>
      <c r="H301" s="1" t="s">
        <v>15</v>
      </c>
      <c r="I301" s="1" t="s">
        <v>23</v>
      </c>
      <c r="J301" s="1" t="s">
        <v>24</v>
      </c>
      <c r="K301" s="1" t="s">
        <v>35</v>
      </c>
      <c r="L301" s="5" t="s">
        <v>26</v>
      </c>
      <c r="M301" s="1" t="s">
        <v>44</v>
      </c>
      <c r="N301" s="1" t="str">
        <f>YEAR(sales_data[[#This Row],[Date]]) &amp; "-" &amp; TEXT(MONTH(sales_data[[#This Row],[Date]]), "00")</f>
        <v>2023-07</v>
      </c>
      <c r="O301" s="1">
        <f xml:space="preserve"> (sales_data[[#This Row],[Sales]]* (100 - sales_data[[#This Row],[Discount]]))/100</f>
        <v>16571.725536951799</v>
      </c>
    </row>
    <row r="302" spans="1:15" x14ac:dyDescent="0.5">
      <c r="A302" s="1" t="s">
        <v>311</v>
      </c>
      <c r="B302" s="1" t="s">
        <v>22</v>
      </c>
      <c r="C302">
        <v>18655.556547225799</v>
      </c>
      <c r="D302">
        <v>5</v>
      </c>
      <c r="E302" s="2">
        <v>45118</v>
      </c>
      <c r="F302" s="1">
        <v>116</v>
      </c>
      <c r="G302" s="1">
        <v>32</v>
      </c>
      <c r="H302" s="1" t="s">
        <v>15</v>
      </c>
      <c r="I302" s="1" t="s">
        <v>23</v>
      </c>
      <c r="J302" s="1" t="s">
        <v>24</v>
      </c>
      <c r="K302" s="1" t="s">
        <v>18</v>
      </c>
      <c r="L302" s="5" t="s">
        <v>43</v>
      </c>
      <c r="M302" s="1" t="s">
        <v>27</v>
      </c>
      <c r="N302" s="1" t="str">
        <f>YEAR(sales_data[[#This Row],[Date]]) &amp; "-" &amp; TEXT(MONTH(sales_data[[#This Row],[Date]]), "00")</f>
        <v>2023-07</v>
      </c>
      <c r="O302" s="1">
        <f xml:space="preserve"> (sales_data[[#This Row],[Sales]]* (100 - sales_data[[#This Row],[Discount]]))/100</f>
        <v>17722.778719864509</v>
      </c>
    </row>
    <row r="303" spans="1:15" x14ac:dyDescent="0.5">
      <c r="A303" s="1" t="s">
        <v>895</v>
      </c>
      <c r="B303" s="1" t="s">
        <v>14</v>
      </c>
      <c r="C303">
        <v>28388.504070382201</v>
      </c>
      <c r="D303">
        <v>5</v>
      </c>
      <c r="E303" s="2">
        <v>45118</v>
      </c>
      <c r="F303" s="1">
        <v>147</v>
      </c>
      <c r="G303" s="1">
        <v>33</v>
      </c>
      <c r="H303" s="1" t="s">
        <v>15</v>
      </c>
      <c r="I303" s="1" t="s">
        <v>33</v>
      </c>
      <c r="J303" s="1" t="s">
        <v>24</v>
      </c>
      <c r="K303" s="1" t="s">
        <v>35</v>
      </c>
      <c r="L303" s="5" t="s">
        <v>30</v>
      </c>
      <c r="M303" s="1" t="s">
        <v>20</v>
      </c>
      <c r="N303" s="1" t="str">
        <f>YEAR(sales_data[[#This Row],[Date]]) &amp; "-" &amp; TEXT(MONTH(sales_data[[#This Row],[Date]]), "00")</f>
        <v>2023-07</v>
      </c>
      <c r="O303" s="1">
        <f xml:space="preserve"> (sales_data[[#This Row],[Sales]]* (100 - sales_data[[#This Row],[Discount]]))/100</f>
        <v>26969.078866863092</v>
      </c>
    </row>
    <row r="304" spans="1:15" x14ac:dyDescent="0.5">
      <c r="A304" s="1" t="s">
        <v>217</v>
      </c>
      <c r="B304" s="1" t="s">
        <v>14</v>
      </c>
      <c r="C304">
        <v>21972.260711891398</v>
      </c>
      <c r="D304">
        <v>15</v>
      </c>
      <c r="E304" s="2">
        <v>45119</v>
      </c>
      <c r="F304" s="1">
        <v>164</v>
      </c>
      <c r="G304" s="1">
        <v>74</v>
      </c>
      <c r="H304" s="1" t="s">
        <v>15</v>
      </c>
      <c r="I304" s="1" t="s">
        <v>16</v>
      </c>
      <c r="J304" s="1" t="s">
        <v>24</v>
      </c>
      <c r="K304" s="1" t="s">
        <v>18</v>
      </c>
      <c r="L304" s="5" t="s">
        <v>58</v>
      </c>
      <c r="M304" s="1" t="s">
        <v>31</v>
      </c>
      <c r="N304" s="1" t="str">
        <f>YEAR(sales_data[[#This Row],[Date]]) &amp; "-" &amp; TEXT(MONTH(sales_data[[#This Row],[Date]]), "00")</f>
        <v>2023-07</v>
      </c>
      <c r="O304" s="1">
        <f xml:space="preserve"> (sales_data[[#This Row],[Sales]]* (100 - sales_data[[#This Row],[Discount]]))/100</f>
        <v>18676.421605107687</v>
      </c>
    </row>
    <row r="305" spans="1:15" x14ac:dyDescent="0.5">
      <c r="A305" s="1" t="s">
        <v>201</v>
      </c>
      <c r="B305" s="1" t="s">
        <v>14</v>
      </c>
      <c r="C305">
        <v>22649.020889576401</v>
      </c>
      <c r="D305">
        <v>15</v>
      </c>
      <c r="E305" s="2">
        <v>45120</v>
      </c>
      <c r="F305" s="1">
        <v>174</v>
      </c>
      <c r="G305" s="1">
        <v>14</v>
      </c>
      <c r="H305" s="1" t="s">
        <v>15</v>
      </c>
      <c r="I305" s="1" t="s">
        <v>16</v>
      </c>
      <c r="J305" s="1" t="s">
        <v>17</v>
      </c>
      <c r="K305" s="1" t="s">
        <v>35</v>
      </c>
      <c r="L305" s="5" t="s">
        <v>30</v>
      </c>
      <c r="M305" s="1" t="s">
        <v>41</v>
      </c>
      <c r="N305" s="1" t="str">
        <f>YEAR(sales_data[[#This Row],[Date]]) &amp; "-" &amp; TEXT(MONTH(sales_data[[#This Row],[Date]]), "00")</f>
        <v>2023-07</v>
      </c>
      <c r="O305" s="1">
        <f xml:space="preserve"> (sales_data[[#This Row],[Sales]]* (100 - sales_data[[#This Row],[Discount]]))/100</f>
        <v>19251.667756139941</v>
      </c>
    </row>
    <row r="306" spans="1:15" x14ac:dyDescent="0.5">
      <c r="A306" s="1" t="s">
        <v>359</v>
      </c>
      <c r="B306" s="1" t="s">
        <v>14</v>
      </c>
      <c r="C306">
        <v>17386.384897404801</v>
      </c>
      <c r="D306">
        <v>10</v>
      </c>
      <c r="E306" s="2">
        <v>45120</v>
      </c>
      <c r="F306" s="1">
        <v>126</v>
      </c>
      <c r="G306" s="1">
        <v>75</v>
      </c>
      <c r="H306" s="1" t="s">
        <v>15</v>
      </c>
      <c r="I306" s="1" t="s">
        <v>16</v>
      </c>
      <c r="J306" s="1" t="s">
        <v>24</v>
      </c>
      <c r="K306" s="1" t="s">
        <v>18</v>
      </c>
      <c r="L306" s="5" t="s">
        <v>43</v>
      </c>
      <c r="M306" s="1" t="s">
        <v>55</v>
      </c>
      <c r="N306" s="1" t="str">
        <f>YEAR(sales_data[[#This Row],[Date]]) &amp; "-" &amp; TEXT(MONTH(sales_data[[#This Row],[Date]]), "00")</f>
        <v>2023-07</v>
      </c>
      <c r="O306" s="1">
        <f xml:space="preserve"> (sales_data[[#This Row],[Sales]]* (100 - sales_data[[#This Row],[Discount]]))/100</f>
        <v>15647.746407664321</v>
      </c>
    </row>
    <row r="307" spans="1:15" x14ac:dyDescent="0.5">
      <c r="A307" s="1" t="s">
        <v>401</v>
      </c>
      <c r="B307" s="1" t="s">
        <v>50</v>
      </c>
      <c r="C307">
        <v>0</v>
      </c>
      <c r="D307">
        <v>5</v>
      </c>
      <c r="E307" s="2">
        <v>45120</v>
      </c>
      <c r="F307" s="1">
        <v>109</v>
      </c>
      <c r="G307" s="1">
        <v>79</v>
      </c>
      <c r="H307" s="1" t="s">
        <v>15</v>
      </c>
      <c r="I307" s="1" t="s">
        <v>33</v>
      </c>
      <c r="J307" s="1" t="s">
        <v>17</v>
      </c>
      <c r="K307" s="1" t="s">
        <v>35</v>
      </c>
      <c r="L307" s="5" t="s">
        <v>54</v>
      </c>
      <c r="M307" s="1" t="s">
        <v>27</v>
      </c>
      <c r="N307" s="1" t="str">
        <f>YEAR(sales_data[[#This Row],[Date]]) &amp; "-" &amp; TEXT(MONTH(sales_data[[#This Row],[Date]]), "00")</f>
        <v>2023-07</v>
      </c>
      <c r="O307" s="1">
        <f xml:space="preserve"> (sales_data[[#This Row],[Sales]]* (100 - sales_data[[#This Row],[Discount]]))/100</f>
        <v>0</v>
      </c>
    </row>
    <row r="308" spans="1:15" x14ac:dyDescent="0.5">
      <c r="A308" s="1" t="s">
        <v>174</v>
      </c>
      <c r="B308" s="1" t="s">
        <v>22</v>
      </c>
      <c r="C308">
        <v>0</v>
      </c>
      <c r="D308">
        <v>10</v>
      </c>
      <c r="E308" s="2">
        <v>45121</v>
      </c>
      <c r="F308" s="1">
        <v>148</v>
      </c>
      <c r="G308" s="1">
        <v>17</v>
      </c>
      <c r="H308" s="1" t="s">
        <v>38</v>
      </c>
      <c r="I308" s="1" t="s">
        <v>33</v>
      </c>
      <c r="J308" s="1" t="s">
        <v>24</v>
      </c>
      <c r="K308" s="1" t="s">
        <v>35</v>
      </c>
      <c r="L308" s="5" t="s">
        <v>85</v>
      </c>
      <c r="M308" s="1" t="s">
        <v>55</v>
      </c>
      <c r="N308" s="1" t="str">
        <f>YEAR(sales_data[[#This Row],[Date]]) &amp; "-" &amp; TEXT(MONTH(sales_data[[#This Row],[Date]]), "00")</f>
        <v>2023-07</v>
      </c>
      <c r="O308" s="1">
        <f xml:space="preserve"> (sales_data[[#This Row],[Sales]]* (100 - sales_data[[#This Row],[Discount]]))/100</f>
        <v>0</v>
      </c>
    </row>
    <row r="309" spans="1:15" x14ac:dyDescent="0.5">
      <c r="A309" s="1" t="s">
        <v>705</v>
      </c>
      <c r="B309" s="1" t="s">
        <v>22</v>
      </c>
      <c r="C309">
        <v>23261.614392067098</v>
      </c>
      <c r="D309">
        <v>0</v>
      </c>
      <c r="E309" s="2">
        <v>45121</v>
      </c>
      <c r="F309" s="1">
        <v>136</v>
      </c>
      <c r="G309" s="1">
        <v>79</v>
      </c>
      <c r="H309" s="1" t="s">
        <v>15</v>
      </c>
      <c r="I309" s="1" t="s">
        <v>16</v>
      </c>
      <c r="J309" s="1" t="s">
        <v>17</v>
      </c>
      <c r="K309" s="1" t="s">
        <v>18</v>
      </c>
      <c r="L309" s="5" t="s">
        <v>38</v>
      </c>
      <c r="M309" s="1" t="s">
        <v>41</v>
      </c>
      <c r="N309" s="1" t="str">
        <f>YEAR(sales_data[[#This Row],[Date]]) &amp; "-" &amp; TEXT(MONTH(sales_data[[#This Row],[Date]]), "00")</f>
        <v>2023-07</v>
      </c>
      <c r="O309" s="1">
        <f xml:space="preserve"> (sales_data[[#This Row],[Sales]]* (100 - sales_data[[#This Row],[Discount]]))/100</f>
        <v>23261.614392067095</v>
      </c>
    </row>
    <row r="310" spans="1:15" x14ac:dyDescent="0.5">
      <c r="A310" s="1" t="s">
        <v>749</v>
      </c>
      <c r="B310" s="1" t="s">
        <v>29</v>
      </c>
      <c r="C310">
        <v>19641.993702929602</v>
      </c>
      <c r="D310">
        <v>5</v>
      </c>
      <c r="E310" s="2">
        <v>45122</v>
      </c>
      <c r="F310" s="1">
        <v>189</v>
      </c>
      <c r="G310" s="1">
        <v>1</v>
      </c>
      <c r="H310" s="1" t="s">
        <v>38</v>
      </c>
      <c r="I310" s="1" t="s">
        <v>23</v>
      </c>
      <c r="J310" s="1" t="s">
        <v>34</v>
      </c>
      <c r="K310" s="1" t="s">
        <v>35</v>
      </c>
      <c r="L310" s="5" t="s">
        <v>85</v>
      </c>
      <c r="M310" s="1" t="s">
        <v>20</v>
      </c>
      <c r="N310" s="1" t="str">
        <f>YEAR(sales_data[[#This Row],[Date]]) &amp; "-" &amp; TEXT(MONTH(sales_data[[#This Row],[Date]]), "00")</f>
        <v>2023-07</v>
      </c>
      <c r="O310" s="1">
        <f xml:space="preserve"> (sales_data[[#This Row],[Sales]]* (100 - sales_data[[#This Row],[Discount]]))/100</f>
        <v>18659.894017783121</v>
      </c>
    </row>
    <row r="311" spans="1:15" x14ac:dyDescent="0.5">
      <c r="A311" s="1" t="s">
        <v>145</v>
      </c>
      <c r="B311" s="1" t="s">
        <v>14</v>
      </c>
      <c r="C311">
        <v>16767.1355787873</v>
      </c>
      <c r="D311">
        <v>15</v>
      </c>
      <c r="E311" s="2">
        <v>45123</v>
      </c>
      <c r="F311" s="1">
        <v>113</v>
      </c>
      <c r="G311" s="1">
        <v>43</v>
      </c>
      <c r="H311" s="1" t="s">
        <v>15</v>
      </c>
      <c r="I311" s="1" t="s">
        <v>33</v>
      </c>
      <c r="J311" s="1" t="s">
        <v>34</v>
      </c>
      <c r="K311" s="1" t="s">
        <v>25</v>
      </c>
      <c r="L311" s="5" t="s">
        <v>26</v>
      </c>
      <c r="M311" s="1" t="s">
        <v>44</v>
      </c>
      <c r="N311" s="1" t="str">
        <f>YEAR(sales_data[[#This Row],[Date]]) &amp; "-" &amp; TEXT(MONTH(sales_data[[#This Row],[Date]]), "00")</f>
        <v>2023-07</v>
      </c>
      <c r="O311" s="1">
        <f xml:space="preserve"> (sales_data[[#This Row],[Sales]]* (100 - sales_data[[#This Row],[Discount]]))/100</f>
        <v>14252.065241969205</v>
      </c>
    </row>
    <row r="312" spans="1:15" x14ac:dyDescent="0.5">
      <c r="A312" s="1" t="s">
        <v>150</v>
      </c>
      <c r="B312" s="1" t="s">
        <v>50</v>
      </c>
      <c r="C312">
        <v>27399.720694450101</v>
      </c>
      <c r="D312">
        <v>10</v>
      </c>
      <c r="E312" s="2">
        <v>45124</v>
      </c>
      <c r="F312" s="1">
        <v>127</v>
      </c>
      <c r="G312" s="1">
        <v>68</v>
      </c>
      <c r="H312" s="1" t="s">
        <v>15</v>
      </c>
      <c r="I312" s="1" t="s">
        <v>23</v>
      </c>
      <c r="J312" s="1" t="s">
        <v>34</v>
      </c>
      <c r="K312" s="1" t="s">
        <v>25</v>
      </c>
      <c r="L312" s="5" t="s">
        <v>46</v>
      </c>
      <c r="M312" s="1" t="s">
        <v>27</v>
      </c>
      <c r="N312" s="1" t="str">
        <f>YEAR(sales_data[[#This Row],[Date]]) &amp; "-" &amp; TEXT(MONTH(sales_data[[#This Row],[Date]]), "00")</f>
        <v>2023-07</v>
      </c>
      <c r="O312" s="1">
        <f xml:space="preserve"> (sales_data[[#This Row],[Sales]]* (100 - sales_data[[#This Row],[Discount]]))/100</f>
        <v>24659.748625005093</v>
      </c>
    </row>
    <row r="313" spans="1:15" x14ac:dyDescent="0.5">
      <c r="A313" s="1" t="s">
        <v>169</v>
      </c>
      <c r="B313" s="1" t="s">
        <v>29</v>
      </c>
      <c r="C313">
        <v>21352.2841288991</v>
      </c>
      <c r="D313">
        <v>10</v>
      </c>
      <c r="E313" s="2">
        <v>45125</v>
      </c>
      <c r="F313" s="1">
        <v>144</v>
      </c>
      <c r="G313" s="1">
        <v>53</v>
      </c>
      <c r="H313" s="1" t="s">
        <v>15</v>
      </c>
      <c r="I313" s="1" t="s">
        <v>23</v>
      </c>
      <c r="J313" s="1" t="s">
        <v>17</v>
      </c>
      <c r="K313" s="1" t="s">
        <v>18</v>
      </c>
      <c r="L313" s="5" t="s">
        <v>30</v>
      </c>
      <c r="M313" s="1" t="s">
        <v>55</v>
      </c>
      <c r="N313" s="1" t="str">
        <f>YEAR(sales_data[[#This Row],[Date]]) &amp; "-" &amp; TEXT(MONTH(sales_data[[#This Row],[Date]]), "00")</f>
        <v>2023-07</v>
      </c>
      <c r="O313" s="1">
        <f xml:space="preserve"> (sales_data[[#This Row],[Sales]]* (100 - sales_data[[#This Row],[Discount]]))/100</f>
        <v>19217.055716009192</v>
      </c>
    </row>
    <row r="314" spans="1:15" x14ac:dyDescent="0.5">
      <c r="A314" s="1" t="s">
        <v>443</v>
      </c>
      <c r="B314" s="1" t="s">
        <v>22</v>
      </c>
      <c r="C314">
        <v>0</v>
      </c>
      <c r="D314">
        <v>0</v>
      </c>
      <c r="E314" s="2">
        <v>45126</v>
      </c>
      <c r="F314" s="1">
        <v>133</v>
      </c>
      <c r="G314" s="1">
        <v>12</v>
      </c>
      <c r="H314" s="1" t="s">
        <v>15</v>
      </c>
      <c r="I314" s="1" t="s">
        <v>16</v>
      </c>
      <c r="J314" s="1" t="s">
        <v>24</v>
      </c>
      <c r="K314" s="1" t="s">
        <v>25</v>
      </c>
      <c r="L314" s="5" t="s">
        <v>36</v>
      </c>
      <c r="M314" s="1" t="s">
        <v>27</v>
      </c>
      <c r="N314" s="1" t="str">
        <f>YEAR(sales_data[[#This Row],[Date]]) &amp; "-" &amp; TEXT(MONTH(sales_data[[#This Row],[Date]]), "00")</f>
        <v>2023-07</v>
      </c>
      <c r="O314" s="1">
        <f xml:space="preserve"> (sales_data[[#This Row],[Sales]]* (100 - sales_data[[#This Row],[Discount]]))/100</f>
        <v>0</v>
      </c>
    </row>
    <row r="315" spans="1:15" x14ac:dyDescent="0.5">
      <c r="A315" s="1" t="s">
        <v>179</v>
      </c>
      <c r="B315" s="1" t="s">
        <v>14</v>
      </c>
      <c r="C315">
        <v>11652.973594393099</v>
      </c>
      <c r="D315">
        <v>5</v>
      </c>
      <c r="E315" s="2">
        <v>45128</v>
      </c>
      <c r="F315" s="1">
        <v>137</v>
      </c>
      <c r="G315" s="1">
        <v>28</v>
      </c>
      <c r="H315" s="1" t="s">
        <v>15</v>
      </c>
      <c r="I315" s="1" t="s">
        <v>16</v>
      </c>
      <c r="J315" s="1" t="s">
        <v>34</v>
      </c>
      <c r="K315" s="1" t="s">
        <v>25</v>
      </c>
      <c r="L315" s="5" t="s">
        <v>30</v>
      </c>
      <c r="M315" s="1" t="s">
        <v>27</v>
      </c>
      <c r="N315" s="1" t="str">
        <f>YEAR(sales_data[[#This Row],[Date]]) &amp; "-" &amp; TEXT(MONTH(sales_data[[#This Row],[Date]]), "00")</f>
        <v>2023-07</v>
      </c>
      <c r="O315" s="1">
        <f xml:space="preserve"> (sales_data[[#This Row],[Sales]]* (100 - sales_data[[#This Row],[Discount]]))/100</f>
        <v>11070.324914673443</v>
      </c>
    </row>
    <row r="316" spans="1:15" x14ac:dyDescent="0.5">
      <c r="A316" s="1" t="s">
        <v>904</v>
      </c>
      <c r="B316" s="1" t="s">
        <v>14</v>
      </c>
      <c r="C316">
        <v>13880.298666188701</v>
      </c>
      <c r="D316">
        <v>0</v>
      </c>
      <c r="E316" s="2">
        <v>45128</v>
      </c>
      <c r="F316" s="1">
        <v>199</v>
      </c>
      <c r="G316" s="1">
        <v>3</v>
      </c>
      <c r="H316" s="1" t="s">
        <v>15</v>
      </c>
      <c r="I316" s="1" t="s">
        <v>16</v>
      </c>
      <c r="J316" s="1" t="s">
        <v>17</v>
      </c>
      <c r="K316" s="1" t="s">
        <v>35</v>
      </c>
      <c r="L316" s="5" t="s">
        <v>36</v>
      </c>
      <c r="M316" s="1" t="s">
        <v>31</v>
      </c>
      <c r="N316" s="1" t="str">
        <f>YEAR(sales_data[[#This Row],[Date]]) &amp; "-" &amp; TEXT(MONTH(sales_data[[#This Row],[Date]]), "00")</f>
        <v>2023-07</v>
      </c>
      <c r="O316" s="1">
        <f xml:space="preserve"> (sales_data[[#This Row],[Sales]]* (100 - sales_data[[#This Row],[Discount]]))/100</f>
        <v>13880.298666188701</v>
      </c>
    </row>
    <row r="317" spans="1:15" x14ac:dyDescent="0.5">
      <c r="A317" s="1" t="s">
        <v>997</v>
      </c>
      <c r="B317" s="1" t="s">
        <v>29</v>
      </c>
      <c r="C317">
        <v>18059.115907293799</v>
      </c>
      <c r="D317">
        <v>10</v>
      </c>
      <c r="E317" s="2">
        <v>45128</v>
      </c>
      <c r="F317" s="1">
        <v>133</v>
      </c>
      <c r="G317" s="1">
        <v>28</v>
      </c>
      <c r="H317" s="1" t="s">
        <v>15</v>
      </c>
      <c r="I317" s="1" t="s">
        <v>23</v>
      </c>
      <c r="J317" s="1" t="s">
        <v>17</v>
      </c>
      <c r="K317" s="1" t="s">
        <v>25</v>
      </c>
      <c r="L317" s="5" t="s">
        <v>58</v>
      </c>
      <c r="M317" s="1" t="s">
        <v>44</v>
      </c>
      <c r="N317" s="1" t="str">
        <f>YEAR(sales_data[[#This Row],[Date]]) &amp; "-" &amp; TEXT(MONTH(sales_data[[#This Row],[Date]]), "00")</f>
        <v>2023-07</v>
      </c>
      <c r="O317" s="1">
        <f xml:space="preserve"> (sales_data[[#This Row],[Sales]]* (100 - sales_data[[#This Row],[Discount]]))/100</f>
        <v>16253.204316564419</v>
      </c>
    </row>
    <row r="318" spans="1:15" x14ac:dyDescent="0.5">
      <c r="A318" s="1" t="s">
        <v>985</v>
      </c>
      <c r="B318" s="1" t="s">
        <v>22</v>
      </c>
      <c r="C318">
        <v>15303.3230309062</v>
      </c>
      <c r="D318">
        <v>5</v>
      </c>
      <c r="E318" s="2">
        <v>45130</v>
      </c>
      <c r="F318" s="1">
        <v>123</v>
      </c>
      <c r="G318" s="1">
        <v>40</v>
      </c>
      <c r="H318" s="1" t="s">
        <v>15</v>
      </c>
      <c r="I318" s="1" t="s">
        <v>23</v>
      </c>
      <c r="J318" s="1" t="s">
        <v>24</v>
      </c>
      <c r="K318" s="1" t="s">
        <v>35</v>
      </c>
      <c r="L318" s="5" t="s">
        <v>38</v>
      </c>
      <c r="M318" s="1" t="s">
        <v>44</v>
      </c>
      <c r="N318" s="1" t="str">
        <f>YEAR(sales_data[[#This Row],[Date]]) &amp; "-" &amp; TEXT(MONTH(sales_data[[#This Row],[Date]]), "00")</f>
        <v>2023-07</v>
      </c>
      <c r="O318" s="1">
        <f xml:space="preserve"> (sales_data[[#This Row],[Sales]]* (100 - sales_data[[#This Row],[Discount]]))/100</f>
        <v>14538.156879360889</v>
      </c>
    </row>
    <row r="319" spans="1:15" x14ac:dyDescent="0.5">
      <c r="A319" s="1" t="s">
        <v>911</v>
      </c>
      <c r="B319" s="1" t="s">
        <v>29</v>
      </c>
      <c r="C319">
        <v>10031.3217871427</v>
      </c>
      <c r="D319">
        <v>10</v>
      </c>
      <c r="E319" s="2">
        <v>45131</v>
      </c>
      <c r="F319" s="1">
        <v>188</v>
      </c>
      <c r="G319" s="1">
        <v>66</v>
      </c>
      <c r="H319" s="1" t="s">
        <v>38</v>
      </c>
      <c r="I319" s="1" t="s">
        <v>33</v>
      </c>
      <c r="J319" s="1" t="s">
        <v>17</v>
      </c>
      <c r="K319" s="1" t="s">
        <v>18</v>
      </c>
      <c r="L319" s="5" t="s">
        <v>85</v>
      </c>
      <c r="M319" s="1" t="s">
        <v>48</v>
      </c>
      <c r="N319" s="1" t="str">
        <f>YEAR(sales_data[[#This Row],[Date]]) &amp; "-" &amp; TEXT(MONTH(sales_data[[#This Row],[Date]]), "00")</f>
        <v>2023-07</v>
      </c>
      <c r="O319" s="1">
        <f xml:space="preserve"> (sales_data[[#This Row],[Sales]]* (100 - sales_data[[#This Row],[Discount]]))/100</f>
        <v>9028.1896084284308</v>
      </c>
    </row>
    <row r="320" spans="1:15" x14ac:dyDescent="0.5">
      <c r="A320" s="1" t="s">
        <v>584</v>
      </c>
      <c r="B320" s="1" t="s">
        <v>50</v>
      </c>
      <c r="C320">
        <v>12384.065476081099</v>
      </c>
      <c r="D320">
        <v>10</v>
      </c>
      <c r="E320" s="2">
        <v>45132</v>
      </c>
      <c r="F320" s="1">
        <v>190</v>
      </c>
      <c r="G320" s="1">
        <v>78</v>
      </c>
      <c r="H320" s="1" t="s">
        <v>38</v>
      </c>
      <c r="I320" s="1" t="s">
        <v>23</v>
      </c>
      <c r="J320" s="1" t="s">
        <v>24</v>
      </c>
      <c r="K320" s="1" t="s">
        <v>25</v>
      </c>
      <c r="L320" s="5" t="s">
        <v>46</v>
      </c>
      <c r="M320" s="1" t="s">
        <v>31</v>
      </c>
      <c r="N320" s="1" t="str">
        <f>YEAR(sales_data[[#This Row],[Date]]) &amp; "-" &amp; TEXT(MONTH(sales_data[[#This Row],[Date]]), "00")</f>
        <v>2023-07</v>
      </c>
      <c r="O320" s="1">
        <f xml:space="preserve"> (sales_data[[#This Row],[Sales]]* (100 - sales_data[[#This Row],[Discount]]))/100</f>
        <v>11145.658928472989</v>
      </c>
    </row>
    <row r="321" spans="1:15" x14ac:dyDescent="0.5">
      <c r="A321" s="1" t="s">
        <v>253</v>
      </c>
      <c r="B321" s="1" t="s">
        <v>50</v>
      </c>
      <c r="C321">
        <v>25187.699721289398</v>
      </c>
      <c r="D321">
        <v>0</v>
      </c>
      <c r="E321" s="2">
        <v>45133</v>
      </c>
      <c r="F321" s="1">
        <v>125</v>
      </c>
      <c r="G321" s="1">
        <v>20</v>
      </c>
      <c r="H321" s="1" t="s">
        <v>38</v>
      </c>
      <c r="I321" s="1" t="s">
        <v>23</v>
      </c>
      <c r="J321" s="1" t="s">
        <v>34</v>
      </c>
      <c r="K321" s="1" t="s">
        <v>18</v>
      </c>
      <c r="L321" s="5" t="s">
        <v>26</v>
      </c>
      <c r="M321" s="1" t="s">
        <v>27</v>
      </c>
      <c r="N321" s="1" t="str">
        <f>YEAR(sales_data[[#This Row],[Date]]) &amp; "-" &amp; TEXT(MONTH(sales_data[[#This Row],[Date]]), "00")</f>
        <v>2023-07</v>
      </c>
      <c r="O321" s="1">
        <f xml:space="preserve"> (sales_data[[#This Row],[Sales]]* (100 - sales_data[[#This Row],[Discount]]))/100</f>
        <v>25187.699721289398</v>
      </c>
    </row>
    <row r="322" spans="1:15" x14ac:dyDescent="0.5">
      <c r="A322" s="1" t="s">
        <v>261</v>
      </c>
      <c r="B322" s="1" t="s">
        <v>22</v>
      </c>
      <c r="C322">
        <v>24348.029600528302</v>
      </c>
      <c r="D322">
        <v>10</v>
      </c>
      <c r="E322" s="2">
        <v>45133</v>
      </c>
      <c r="F322" s="1">
        <v>158</v>
      </c>
      <c r="G322" s="1">
        <v>66</v>
      </c>
      <c r="H322" s="1" t="s">
        <v>15</v>
      </c>
      <c r="I322" s="1" t="s">
        <v>33</v>
      </c>
      <c r="J322" s="1" t="s">
        <v>17</v>
      </c>
      <c r="K322" s="1" t="s">
        <v>18</v>
      </c>
      <c r="L322" s="5" t="s">
        <v>46</v>
      </c>
      <c r="M322" s="1" t="s">
        <v>31</v>
      </c>
      <c r="N322" s="1" t="str">
        <f>YEAR(sales_data[[#This Row],[Date]]) &amp; "-" &amp; TEXT(MONTH(sales_data[[#This Row],[Date]]), "00")</f>
        <v>2023-07</v>
      </c>
      <c r="O322" s="1">
        <f xml:space="preserve"> (sales_data[[#This Row],[Sales]]* (100 - sales_data[[#This Row],[Discount]]))/100</f>
        <v>21913.22664047547</v>
      </c>
    </row>
    <row r="323" spans="1:15" x14ac:dyDescent="0.5">
      <c r="A323" s="1" t="s">
        <v>578</v>
      </c>
      <c r="B323" s="1" t="s">
        <v>29</v>
      </c>
      <c r="C323">
        <v>20970.449964491501</v>
      </c>
      <c r="D323">
        <v>5</v>
      </c>
      <c r="E323" s="2">
        <v>45133</v>
      </c>
      <c r="F323" s="1">
        <v>157</v>
      </c>
      <c r="G323" s="1">
        <v>93</v>
      </c>
      <c r="H323" s="1" t="s">
        <v>15</v>
      </c>
      <c r="I323" s="1" t="s">
        <v>23</v>
      </c>
      <c r="J323" s="1" t="s">
        <v>24</v>
      </c>
      <c r="K323" s="1" t="s">
        <v>35</v>
      </c>
      <c r="L323" s="5" t="s">
        <v>26</v>
      </c>
      <c r="M323" s="1" t="s">
        <v>31</v>
      </c>
      <c r="N323" s="1" t="str">
        <f>YEAR(sales_data[[#This Row],[Date]]) &amp; "-" &amp; TEXT(MONTH(sales_data[[#This Row],[Date]]), "00")</f>
        <v>2023-07</v>
      </c>
      <c r="O323" s="1">
        <f xml:space="preserve"> (sales_data[[#This Row],[Sales]]* (100 - sales_data[[#This Row],[Discount]]))/100</f>
        <v>19921.927466266927</v>
      </c>
    </row>
    <row r="324" spans="1:15" x14ac:dyDescent="0.5">
      <c r="A324" s="1" t="s">
        <v>797</v>
      </c>
      <c r="B324" s="1" t="s">
        <v>50</v>
      </c>
      <c r="C324">
        <v>22987.0003492492</v>
      </c>
      <c r="D324">
        <v>10</v>
      </c>
      <c r="E324" s="2">
        <v>45133</v>
      </c>
      <c r="F324" s="1">
        <v>149</v>
      </c>
      <c r="G324" s="1">
        <v>59</v>
      </c>
      <c r="H324" s="1" t="s">
        <v>15</v>
      </c>
      <c r="I324" s="1" t="s">
        <v>16</v>
      </c>
      <c r="J324" s="1" t="s">
        <v>17</v>
      </c>
      <c r="K324" s="1" t="s">
        <v>25</v>
      </c>
      <c r="L324" s="5" t="s">
        <v>26</v>
      </c>
      <c r="M324" s="1" t="s">
        <v>44</v>
      </c>
      <c r="N324" s="1" t="str">
        <f>YEAR(sales_data[[#This Row],[Date]]) &amp; "-" &amp; TEXT(MONTH(sales_data[[#This Row],[Date]]), "00")</f>
        <v>2023-07</v>
      </c>
      <c r="O324" s="1">
        <f xml:space="preserve"> (sales_data[[#This Row],[Sales]]* (100 - sales_data[[#This Row],[Discount]]))/100</f>
        <v>20688.300314324279</v>
      </c>
    </row>
    <row r="325" spans="1:15" x14ac:dyDescent="0.5">
      <c r="A325" s="1" t="s">
        <v>751</v>
      </c>
      <c r="B325" s="1" t="s">
        <v>22</v>
      </c>
      <c r="C325">
        <v>23638.1477181849</v>
      </c>
      <c r="D325">
        <v>5</v>
      </c>
      <c r="E325" s="2">
        <v>45135</v>
      </c>
      <c r="F325" s="1">
        <v>104</v>
      </c>
      <c r="G325" s="1">
        <v>63</v>
      </c>
      <c r="H325" s="1" t="s">
        <v>15</v>
      </c>
      <c r="I325" s="1" t="s">
        <v>16</v>
      </c>
      <c r="J325" s="1" t="s">
        <v>17</v>
      </c>
      <c r="K325" s="1" t="s">
        <v>25</v>
      </c>
      <c r="L325" s="5" t="s">
        <v>54</v>
      </c>
      <c r="M325" s="1" t="s">
        <v>27</v>
      </c>
      <c r="N325" s="1" t="str">
        <f>YEAR(sales_data[[#This Row],[Date]]) &amp; "-" &amp; TEXT(MONTH(sales_data[[#This Row],[Date]]), "00")</f>
        <v>2023-07</v>
      </c>
      <c r="O325" s="1">
        <f xml:space="preserve"> (sales_data[[#This Row],[Sales]]* (100 - sales_data[[#This Row],[Discount]]))/100</f>
        <v>22456.240332275658</v>
      </c>
    </row>
    <row r="326" spans="1:15" x14ac:dyDescent="0.5">
      <c r="A326" s="1" t="s">
        <v>863</v>
      </c>
      <c r="B326" s="1" t="s">
        <v>22</v>
      </c>
      <c r="C326">
        <v>20244.300351628499</v>
      </c>
      <c r="D326">
        <v>0</v>
      </c>
      <c r="E326" s="2">
        <v>45135</v>
      </c>
      <c r="F326" s="1">
        <v>107</v>
      </c>
      <c r="G326" s="1">
        <v>54</v>
      </c>
      <c r="H326" s="1" t="s">
        <v>15</v>
      </c>
      <c r="I326" s="1" t="s">
        <v>33</v>
      </c>
      <c r="J326" s="1" t="s">
        <v>17</v>
      </c>
      <c r="K326" s="1" t="s">
        <v>35</v>
      </c>
      <c r="L326" s="5" t="s">
        <v>54</v>
      </c>
      <c r="M326" s="1" t="s">
        <v>31</v>
      </c>
      <c r="N326" s="1" t="str">
        <f>YEAR(sales_data[[#This Row],[Date]]) &amp; "-" &amp; TEXT(MONTH(sales_data[[#This Row],[Date]]), "00")</f>
        <v>2023-07</v>
      </c>
      <c r="O326" s="1">
        <f xml:space="preserve"> (sales_data[[#This Row],[Sales]]* (100 - sales_data[[#This Row],[Discount]]))/100</f>
        <v>20244.300351628499</v>
      </c>
    </row>
    <row r="327" spans="1:15" x14ac:dyDescent="0.5">
      <c r="A327" s="1" t="s">
        <v>291</v>
      </c>
      <c r="B327" s="1" t="s">
        <v>29</v>
      </c>
      <c r="C327">
        <v>19209.960507104999</v>
      </c>
      <c r="D327">
        <v>15</v>
      </c>
      <c r="E327" s="2">
        <v>45136</v>
      </c>
      <c r="F327" s="1">
        <v>141</v>
      </c>
      <c r="G327" s="1">
        <v>48</v>
      </c>
      <c r="H327" s="1" t="s">
        <v>15</v>
      </c>
      <c r="I327" s="1" t="s">
        <v>33</v>
      </c>
      <c r="J327" s="1" t="s">
        <v>24</v>
      </c>
      <c r="K327" s="1" t="s">
        <v>35</v>
      </c>
      <c r="L327" s="5" t="s">
        <v>36</v>
      </c>
      <c r="M327" s="1" t="s">
        <v>31</v>
      </c>
      <c r="N327" s="1" t="str">
        <f>YEAR(sales_data[[#This Row],[Date]]) &amp; "-" &amp; TEXT(MONTH(sales_data[[#This Row],[Date]]), "00")</f>
        <v>2023-07</v>
      </c>
      <c r="O327" s="1">
        <f xml:space="preserve"> (sales_data[[#This Row],[Sales]]* (100 - sales_data[[#This Row],[Discount]]))/100</f>
        <v>16328.466431039247</v>
      </c>
    </row>
    <row r="328" spans="1:15" x14ac:dyDescent="0.5">
      <c r="A328" s="1" t="s">
        <v>396</v>
      </c>
      <c r="B328" s="1" t="s">
        <v>29</v>
      </c>
      <c r="C328">
        <v>24913.454919727501</v>
      </c>
      <c r="D328">
        <v>15</v>
      </c>
      <c r="E328" s="2">
        <v>45136</v>
      </c>
      <c r="F328" s="1">
        <v>192</v>
      </c>
      <c r="G328" s="1">
        <v>58</v>
      </c>
      <c r="H328" s="1" t="s">
        <v>15</v>
      </c>
      <c r="I328" s="1" t="s">
        <v>33</v>
      </c>
      <c r="J328" s="1" t="s">
        <v>17</v>
      </c>
      <c r="K328" s="1" t="s">
        <v>25</v>
      </c>
      <c r="L328" s="5" t="s">
        <v>38</v>
      </c>
      <c r="M328" s="1" t="s">
        <v>48</v>
      </c>
      <c r="N328" s="1" t="str">
        <f>YEAR(sales_data[[#This Row],[Date]]) &amp; "-" &amp; TEXT(MONTH(sales_data[[#This Row],[Date]]), "00")</f>
        <v>2023-07</v>
      </c>
      <c r="O328" s="1">
        <f xml:space="preserve"> (sales_data[[#This Row],[Sales]]* (100 - sales_data[[#This Row],[Discount]]))/100</f>
        <v>21176.436681768377</v>
      </c>
    </row>
    <row r="329" spans="1:15" x14ac:dyDescent="0.5">
      <c r="A329" s="1" t="s">
        <v>790</v>
      </c>
      <c r="B329" s="1" t="s">
        <v>50</v>
      </c>
      <c r="C329">
        <v>22109.6037711764</v>
      </c>
      <c r="D329">
        <v>10</v>
      </c>
      <c r="E329" s="2">
        <v>45136</v>
      </c>
      <c r="F329" s="1">
        <v>125</v>
      </c>
      <c r="G329" s="1">
        <v>35</v>
      </c>
      <c r="H329" s="1" t="s">
        <v>15</v>
      </c>
      <c r="I329" s="1" t="s">
        <v>33</v>
      </c>
      <c r="J329" s="1" t="s">
        <v>24</v>
      </c>
      <c r="K329" s="1" t="s">
        <v>25</v>
      </c>
      <c r="L329" s="5" t="s">
        <v>26</v>
      </c>
      <c r="M329" s="1" t="s">
        <v>41</v>
      </c>
      <c r="N329" s="1" t="str">
        <f>YEAR(sales_data[[#This Row],[Date]]) &amp; "-" &amp; TEXT(MONTH(sales_data[[#This Row],[Date]]), "00")</f>
        <v>2023-07</v>
      </c>
      <c r="O329" s="1">
        <f xml:space="preserve"> (sales_data[[#This Row],[Sales]]* (100 - sales_data[[#This Row],[Discount]]))/100</f>
        <v>19898.643394058759</v>
      </c>
    </row>
    <row r="330" spans="1:15" x14ac:dyDescent="0.5">
      <c r="A330" s="1" t="s">
        <v>759</v>
      </c>
      <c r="B330" s="1" t="s">
        <v>22</v>
      </c>
      <c r="C330">
        <v>24990.050549298201</v>
      </c>
      <c r="D330">
        <v>0</v>
      </c>
      <c r="E330" s="2">
        <v>45137</v>
      </c>
      <c r="F330" s="1">
        <v>127</v>
      </c>
      <c r="G330" s="1">
        <v>60</v>
      </c>
      <c r="H330" s="1" t="s">
        <v>15</v>
      </c>
      <c r="I330" s="1" t="s">
        <v>33</v>
      </c>
      <c r="J330" s="1" t="s">
        <v>17</v>
      </c>
      <c r="K330" s="1" t="s">
        <v>35</v>
      </c>
      <c r="L330" s="5" t="s">
        <v>36</v>
      </c>
      <c r="M330" s="1" t="s">
        <v>41</v>
      </c>
      <c r="N330" s="1" t="str">
        <f>YEAR(sales_data[[#This Row],[Date]]) &amp; "-" &amp; TEXT(MONTH(sales_data[[#This Row],[Date]]), "00")</f>
        <v>2023-07</v>
      </c>
      <c r="O330" s="1">
        <f xml:space="preserve"> (sales_data[[#This Row],[Sales]]* (100 - sales_data[[#This Row],[Discount]]))/100</f>
        <v>24990.050549298197</v>
      </c>
    </row>
    <row r="331" spans="1:15" x14ac:dyDescent="0.5">
      <c r="A331" s="1" t="s">
        <v>844</v>
      </c>
      <c r="B331" s="1" t="s">
        <v>14</v>
      </c>
      <c r="C331">
        <v>24703.855939941001</v>
      </c>
      <c r="D331">
        <v>0</v>
      </c>
      <c r="E331" s="2">
        <v>45137</v>
      </c>
      <c r="F331" s="1">
        <v>175</v>
      </c>
      <c r="G331" s="1">
        <v>59</v>
      </c>
      <c r="H331" s="1" t="s">
        <v>15</v>
      </c>
      <c r="I331" s="1" t="s">
        <v>16</v>
      </c>
      <c r="J331" s="1" t="s">
        <v>17</v>
      </c>
      <c r="K331" s="1" t="s">
        <v>25</v>
      </c>
      <c r="L331" s="5" t="s">
        <v>26</v>
      </c>
      <c r="M331" s="1" t="s">
        <v>44</v>
      </c>
      <c r="N331" s="1" t="str">
        <f>YEAR(sales_data[[#This Row],[Date]]) &amp; "-" &amp; TEXT(MONTH(sales_data[[#This Row],[Date]]), "00")</f>
        <v>2023-07</v>
      </c>
      <c r="O331" s="1">
        <f xml:space="preserve"> (sales_data[[#This Row],[Sales]]* (100 - sales_data[[#This Row],[Discount]]))/100</f>
        <v>24703.855939941001</v>
      </c>
    </row>
    <row r="332" spans="1:15" x14ac:dyDescent="0.5">
      <c r="A332" s="1" t="s">
        <v>814</v>
      </c>
      <c r="B332" s="1" t="s">
        <v>29</v>
      </c>
      <c r="C332">
        <v>25049.085446713099</v>
      </c>
      <c r="D332">
        <v>0</v>
      </c>
      <c r="E332" s="2">
        <v>45138</v>
      </c>
      <c r="F332" s="1">
        <v>173</v>
      </c>
      <c r="G332" s="1">
        <v>58</v>
      </c>
      <c r="H332" s="1" t="s">
        <v>15</v>
      </c>
      <c r="I332" s="1" t="s">
        <v>33</v>
      </c>
      <c r="J332" s="1" t="s">
        <v>34</v>
      </c>
      <c r="K332" s="1" t="s">
        <v>18</v>
      </c>
      <c r="L332" s="5" t="s">
        <v>26</v>
      </c>
      <c r="M332" s="1" t="s">
        <v>44</v>
      </c>
      <c r="N332" s="1" t="str">
        <f>YEAR(sales_data[[#This Row],[Date]]) &amp; "-" &amp; TEXT(MONTH(sales_data[[#This Row],[Date]]), "00")</f>
        <v>2023-07</v>
      </c>
      <c r="O332" s="1">
        <f xml:space="preserve"> (sales_data[[#This Row],[Sales]]* (100 - sales_data[[#This Row],[Discount]]))/100</f>
        <v>25049.085446713099</v>
      </c>
    </row>
    <row r="333" spans="1:15" x14ac:dyDescent="0.5">
      <c r="A333" s="1" t="s">
        <v>663</v>
      </c>
      <c r="B333" s="1" t="s">
        <v>14</v>
      </c>
      <c r="C333">
        <v>23491.116568067901</v>
      </c>
      <c r="D333">
        <v>0</v>
      </c>
      <c r="E333" s="2">
        <v>45139</v>
      </c>
      <c r="F333" s="1">
        <v>146</v>
      </c>
      <c r="G333" s="1">
        <v>64</v>
      </c>
      <c r="H333" s="1" t="s">
        <v>15</v>
      </c>
      <c r="I333" s="1" t="s">
        <v>33</v>
      </c>
      <c r="J333" s="1" t="s">
        <v>17</v>
      </c>
      <c r="K333" s="1" t="s">
        <v>25</v>
      </c>
      <c r="L333" s="5" t="s">
        <v>30</v>
      </c>
      <c r="M333" s="1" t="s">
        <v>27</v>
      </c>
      <c r="N333" s="1" t="str">
        <f>YEAR(sales_data[[#This Row],[Date]]) &amp; "-" &amp; TEXT(MONTH(sales_data[[#This Row],[Date]]), "00")</f>
        <v>2023-08</v>
      </c>
      <c r="O333" s="1">
        <f xml:space="preserve"> (sales_data[[#This Row],[Sales]]* (100 - sales_data[[#This Row],[Discount]]))/100</f>
        <v>23491.116568067904</v>
      </c>
    </row>
    <row r="334" spans="1:15" x14ac:dyDescent="0.5">
      <c r="A334" s="1" t="s">
        <v>706</v>
      </c>
      <c r="B334" s="1" t="s">
        <v>14</v>
      </c>
      <c r="C334">
        <v>12118.039215078699</v>
      </c>
      <c r="D334">
        <v>10</v>
      </c>
      <c r="E334" s="2">
        <v>45139</v>
      </c>
      <c r="F334" s="1">
        <v>105</v>
      </c>
      <c r="G334" s="1">
        <v>80</v>
      </c>
      <c r="H334" s="1" t="s">
        <v>15</v>
      </c>
      <c r="I334" s="1" t="s">
        <v>33</v>
      </c>
      <c r="J334" s="1" t="s">
        <v>24</v>
      </c>
      <c r="K334" s="1" t="s">
        <v>35</v>
      </c>
      <c r="L334" s="5" t="s">
        <v>38</v>
      </c>
      <c r="M334" s="1" t="s">
        <v>31</v>
      </c>
      <c r="N334" s="1" t="str">
        <f>YEAR(sales_data[[#This Row],[Date]]) &amp; "-" &amp; TEXT(MONTH(sales_data[[#This Row],[Date]]), "00")</f>
        <v>2023-08</v>
      </c>
      <c r="O334" s="1">
        <f xml:space="preserve"> (sales_data[[#This Row],[Sales]]* (100 - sales_data[[#This Row],[Discount]]))/100</f>
        <v>10906.23529357083</v>
      </c>
    </row>
    <row r="335" spans="1:15" x14ac:dyDescent="0.5">
      <c r="A335" s="1" t="s">
        <v>808</v>
      </c>
      <c r="B335" s="1" t="s">
        <v>50</v>
      </c>
      <c r="C335">
        <v>15765.193258408301</v>
      </c>
      <c r="D335">
        <v>5</v>
      </c>
      <c r="E335" s="2">
        <v>45139</v>
      </c>
      <c r="F335" s="1">
        <v>137</v>
      </c>
      <c r="G335" s="1">
        <v>24</v>
      </c>
      <c r="H335" s="1" t="s">
        <v>15</v>
      </c>
      <c r="I335" s="1" t="s">
        <v>16</v>
      </c>
      <c r="J335" s="1" t="s">
        <v>17</v>
      </c>
      <c r="K335" s="1" t="s">
        <v>25</v>
      </c>
      <c r="L335" s="5" t="s">
        <v>30</v>
      </c>
      <c r="M335" s="1" t="s">
        <v>41</v>
      </c>
      <c r="N335" s="1" t="str">
        <f>YEAR(sales_data[[#This Row],[Date]]) &amp; "-" &amp; TEXT(MONTH(sales_data[[#This Row],[Date]]), "00")</f>
        <v>2023-08</v>
      </c>
      <c r="O335" s="1">
        <f xml:space="preserve"> (sales_data[[#This Row],[Sales]]* (100 - sales_data[[#This Row],[Discount]]))/100</f>
        <v>14976.933595487884</v>
      </c>
    </row>
    <row r="336" spans="1:15" x14ac:dyDescent="0.5">
      <c r="A336" s="1" t="s">
        <v>1041</v>
      </c>
      <c r="B336" s="1" t="s">
        <v>29</v>
      </c>
      <c r="C336">
        <v>30786.5410663275</v>
      </c>
      <c r="D336">
        <v>0</v>
      </c>
      <c r="E336" s="2">
        <v>45139</v>
      </c>
      <c r="F336" s="1">
        <v>156</v>
      </c>
      <c r="G336" s="1">
        <v>13</v>
      </c>
      <c r="H336" s="1" t="s">
        <v>15</v>
      </c>
      <c r="I336" s="1" t="s">
        <v>33</v>
      </c>
      <c r="J336" s="1" t="s">
        <v>24</v>
      </c>
      <c r="K336" s="1" t="s">
        <v>18</v>
      </c>
      <c r="L336" s="5" t="s">
        <v>36</v>
      </c>
      <c r="M336" s="1" t="s">
        <v>20</v>
      </c>
      <c r="N336" s="1" t="str">
        <f>YEAR(sales_data[[#This Row],[Date]]) &amp; "-" &amp; TEXT(MONTH(sales_data[[#This Row],[Date]]), "00")</f>
        <v>2023-08</v>
      </c>
      <c r="O336" s="1">
        <f xml:space="preserve"> (sales_data[[#This Row],[Sales]]* (100 - sales_data[[#This Row],[Discount]]))/100</f>
        <v>30786.5410663275</v>
      </c>
    </row>
    <row r="337" spans="1:15" x14ac:dyDescent="0.5">
      <c r="A337" s="1" t="s">
        <v>102</v>
      </c>
      <c r="B337" s="1" t="s">
        <v>29</v>
      </c>
      <c r="C337">
        <v>0</v>
      </c>
      <c r="D337">
        <v>0</v>
      </c>
      <c r="E337" s="2">
        <v>45140</v>
      </c>
      <c r="F337" s="1">
        <v>160</v>
      </c>
      <c r="G337" s="1">
        <v>47</v>
      </c>
      <c r="H337" s="1" t="s">
        <v>15</v>
      </c>
      <c r="I337" s="1" t="s">
        <v>16</v>
      </c>
      <c r="J337" s="1" t="s">
        <v>34</v>
      </c>
      <c r="K337" s="1" t="s">
        <v>25</v>
      </c>
      <c r="L337" s="5" t="s">
        <v>38</v>
      </c>
      <c r="M337" s="1" t="s">
        <v>44</v>
      </c>
      <c r="N337" s="1" t="str">
        <f>YEAR(sales_data[[#This Row],[Date]]) &amp; "-" &amp; TEXT(MONTH(sales_data[[#This Row],[Date]]), "00")</f>
        <v>2023-08</v>
      </c>
      <c r="O337" s="1">
        <f xml:space="preserve"> (sales_data[[#This Row],[Sales]]* (100 - sales_data[[#This Row],[Discount]]))/100</f>
        <v>0</v>
      </c>
    </row>
    <row r="338" spans="1:15" x14ac:dyDescent="0.5">
      <c r="A338" s="1" t="s">
        <v>803</v>
      </c>
      <c r="B338" s="1" t="s">
        <v>29</v>
      </c>
      <c r="C338">
        <v>19134.640878580602</v>
      </c>
      <c r="D338">
        <v>15</v>
      </c>
      <c r="E338" s="2">
        <v>45140</v>
      </c>
      <c r="F338" s="1">
        <v>160</v>
      </c>
      <c r="G338" s="1">
        <v>35</v>
      </c>
      <c r="H338" s="1" t="s">
        <v>38</v>
      </c>
      <c r="I338" s="1" t="s">
        <v>33</v>
      </c>
      <c r="J338" s="1" t="s">
        <v>17</v>
      </c>
      <c r="K338" s="1" t="s">
        <v>25</v>
      </c>
      <c r="L338" s="5" t="s">
        <v>43</v>
      </c>
      <c r="M338" s="1" t="s">
        <v>55</v>
      </c>
      <c r="N338" s="1" t="str">
        <f>YEAR(sales_data[[#This Row],[Date]]) &amp; "-" &amp; TEXT(MONTH(sales_data[[#This Row],[Date]]), "00")</f>
        <v>2023-08</v>
      </c>
      <c r="O338" s="1">
        <f xml:space="preserve"> (sales_data[[#This Row],[Sales]]* (100 - sales_data[[#This Row],[Discount]]))/100</f>
        <v>16264.444746793512</v>
      </c>
    </row>
    <row r="339" spans="1:15" x14ac:dyDescent="0.5">
      <c r="A339" s="1" t="s">
        <v>987</v>
      </c>
      <c r="B339" s="1" t="s">
        <v>22</v>
      </c>
      <c r="C339">
        <v>13951.5262857944</v>
      </c>
      <c r="D339">
        <v>15</v>
      </c>
      <c r="E339" s="2">
        <v>45140</v>
      </c>
      <c r="F339" s="1">
        <v>139</v>
      </c>
      <c r="G339" s="1">
        <v>23</v>
      </c>
      <c r="H339" s="1" t="s">
        <v>38</v>
      </c>
      <c r="I339" s="1" t="s">
        <v>23</v>
      </c>
      <c r="J339" s="1" t="s">
        <v>34</v>
      </c>
      <c r="K339" s="1" t="s">
        <v>25</v>
      </c>
      <c r="L339" s="5" t="s">
        <v>30</v>
      </c>
      <c r="M339" s="1" t="s">
        <v>31</v>
      </c>
      <c r="N339" s="1" t="str">
        <f>YEAR(sales_data[[#This Row],[Date]]) &amp; "-" &amp; TEXT(MONTH(sales_data[[#This Row],[Date]]), "00")</f>
        <v>2023-08</v>
      </c>
      <c r="O339" s="1">
        <f xml:space="preserve"> (sales_data[[#This Row],[Sales]]* (100 - sales_data[[#This Row],[Discount]]))/100</f>
        <v>11858.79734292524</v>
      </c>
    </row>
    <row r="340" spans="1:15" x14ac:dyDescent="0.5">
      <c r="A340" s="1" t="s">
        <v>576</v>
      </c>
      <c r="B340" s="1" t="s">
        <v>22</v>
      </c>
      <c r="C340">
        <v>20933.045615781699</v>
      </c>
      <c r="D340">
        <v>10</v>
      </c>
      <c r="E340" s="2">
        <v>45141</v>
      </c>
      <c r="F340" s="1">
        <v>136</v>
      </c>
      <c r="G340" s="1">
        <v>56</v>
      </c>
      <c r="H340" s="1" t="s">
        <v>15</v>
      </c>
      <c r="I340" s="1" t="s">
        <v>33</v>
      </c>
      <c r="J340" s="1" t="s">
        <v>17</v>
      </c>
      <c r="K340" s="1" t="s">
        <v>25</v>
      </c>
      <c r="L340" s="5" t="s">
        <v>54</v>
      </c>
      <c r="M340" s="1" t="s">
        <v>27</v>
      </c>
      <c r="N340" s="1" t="str">
        <f>YEAR(sales_data[[#This Row],[Date]]) &amp; "-" &amp; TEXT(MONTH(sales_data[[#This Row],[Date]]), "00")</f>
        <v>2023-08</v>
      </c>
      <c r="O340" s="1">
        <f xml:space="preserve"> (sales_data[[#This Row],[Sales]]* (100 - sales_data[[#This Row],[Discount]]))/100</f>
        <v>18839.741054203529</v>
      </c>
    </row>
    <row r="341" spans="1:15" x14ac:dyDescent="0.5">
      <c r="A341" s="1" t="s">
        <v>681</v>
      </c>
      <c r="B341" s="1" t="s">
        <v>29</v>
      </c>
      <c r="C341">
        <v>19878.227038695</v>
      </c>
      <c r="D341">
        <v>0</v>
      </c>
      <c r="E341" s="2">
        <v>45141</v>
      </c>
      <c r="F341" s="1">
        <v>153</v>
      </c>
      <c r="G341" s="1">
        <v>90</v>
      </c>
      <c r="H341" s="1" t="s">
        <v>38</v>
      </c>
      <c r="I341" s="1" t="s">
        <v>16</v>
      </c>
      <c r="J341" s="1" t="s">
        <v>24</v>
      </c>
      <c r="K341" s="1" t="s">
        <v>25</v>
      </c>
      <c r="L341" s="5" t="s">
        <v>38</v>
      </c>
      <c r="M341" s="1" t="s">
        <v>31</v>
      </c>
      <c r="N341" s="1" t="str">
        <f>YEAR(sales_data[[#This Row],[Date]]) &amp; "-" &amp; TEXT(MONTH(sales_data[[#This Row],[Date]]), "00")</f>
        <v>2023-08</v>
      </c>
      <c r="O341" s="1">
        <f xml:space="preserve"> (sales_data[[#This Row],[Sales]]* (100 - sales_data[[#This Row],[Discount]]))/100</f>
        <v>19878.227038695</v>
      </c>
    </row>
    <row r="342" spans="1:15" x14ac:dyDescent="0.5">
      <c r="A342" s="1" t="s">
        <v>283</v>
      </c>
      <c r="B342" s="1" t="s">
        <v>14</v>
      </c>
      <c r="C342">
        <v>27965.933133196901</v>
      </c>
      <c r="D342">
        <v>10</v>
      </c>
      <c r="E342" s="2">
        <v>45142</v>
      </c>
      <c r="F342" s="1">
        <v>148</v>
      </c>
      <c r="G342" s="1">
        <v>26</v>
      </c>
      <c r="H342" s="1" t="s">
        <v>38</v>
      </c>
      <c r="I342" s="1" t="s">
        <v>33</v>
      </c>
      <c r="J342" s="1" t="s">
        <v>24</v>
      </c>
      <c r="K342" s="1" t="s">
        <v>18</v>
      </c>
      <c r="L342" s="5" t="s">
        <v>36</v>
      </c>
      <c r="M342" s="1" t="s">
        <v>27</v>
      </c>
      <c r="N342" s="1" t="str">
        <f>YEAR(sales_data[[#This Row],[Date]]) &amp; "-" &amp; TEXT(MONTH(sales_data[[#This Row],[Date]]), "00")</f>
        <v>2023-08</v>
      </c>
      <c r="O342" s="1">
        <f xml:space="preserve"> (sales_data[[#This Row],[Sales]]* (100 - sales_data[[#This Row],[Discount]]))/100</f>
        <v>25169.339819877212</v>
      </c>
    </row>
    <row r="343" spans="1:15" x14ac:dyDescent="0.5">
      <c r="A343" s="1" t="s">
        <v>894</v>
      </c>
      <c r="B343" s="1" t="s">
        <v>50</v>
      </c>
      <c r="C343">
        <v>28195.584027220299</v>
      </c>
      <c r="D343">
        <v>15</v>
      </c>
      <c r="E343" s="2">
        <v>45143</v>
      </c>
      <c r="F343" s="1">
        <v>171</v>
      </c>
      <c r="G343" s="1">
        <v>50</v>
      </c>
      <c r="H343" s="1" t="s">
        <v>15</v>
      </c>
      <c r="I343" s="1" t="s">
        <v>33</v>
      </c>
      <c r="J343" s="1" t="s">
        <v>24</v>
      </c>
      <c r="K343" s="1" t="s">
        <v>35</v>
      </c>
      <c r="L343" s="5" t="s">
        <v>85</v>
      </c>
      <c r="M343" s="1" t="s">
        <v>27</v>
      </c>
      <c r="N343" s="1" t="str">
        <f>YEAR(sales_data[[#This Row],[Date]]) &amp; "-" &amp; TEXT(MONTH(sales_data[[#This Row],[Date]]), "00")</f>
        <v>2023-08</v>
      </c>
      <c r="O343" s="1">
        <f xml:space="preserve"> (sales_data[[#This Row],[Sales]]* (100 - sales_data[[#This Row],[Discount]]))/100</f>
        <v>23966.246423137254</v>
      </c>
    </row>
    <row r="344" spans="1:15" x14ac:dyDescent="0.5">
      <c r="A344" s="1" t="s">
        <v>198</v>
      </c>
      <c r="B344" s="1" t="s">
        <v>14</v>
      </c>
      <c r="C344">
        <v>17115.540652384199</v>
      </c>
      <c r="D344">
        <v>0</v>
      </c>
      <c r="E344" s="2">
        <v>45144</v>
      </c>
      <c r="F344" s="1">
        <v>140</v>
      </c>
      <c r="G344" s="1">
        <v>7</v>
      </c>
      <c r="H344" s="1" t="s">
        <v>15</v>
      </c>
      <c r="I344" s="1" t="s">
        <v>23</v>
      </c>
      <c r="J344" s="1" t="s">
        <v>34</v>
      </c>
      <c r="K344" s="1" t="s">
        <v>18</v>
      </c>
      <c r="L344" s="5" t="s">
        <v>85</v>
      </c>
      <c r="M344" s="1" t="s">
        <v>44</v>
      </c>
      <c r="N344" s="1" t="str">
        <f>YEAR(sales_data[[#This Row],[Date]]) &amp; "-" &amp; TEXT(MONTH(sales_data[[#This Row],[Date]]), "00")</f>
        <v>2023-08</v>
      </c>
      <c r="O344" s="1">
        <f xml:space="preserve"> (sales_data[[#This Row],[Sales]]* (100 - sales_data[[#This Row],[Discount]]))/100</f>
        <v>17115.540652384199</v>
      </c>
    </row>
    <row r="345" spans="1:15" x14ac:dyDescent="0.5">
      <c r="A345" s="1" t="s">
        <v>442</v>
      </c>
      <c r="B345" s="1" t="s">
        <v>50</v>
      </c>
      <c r="C345">
        <v>23052.928726419101</v>
      </c>
      <c r="D345">
        <v>10</v>
      </c>
      <c r="E345" s="2">
        <v>45144</v>
      </c>
      <c r="F345" s="1">
        <v>108</v>
      </c>
      <c r="G345" s="1">
        <v>68</v>
      </c>
      <c r="H345" s="1" t="s">
        <v>15</v>
      </c>
      <c r="I345" s="1" t="s">
        <v>16</v>
      </c>
      <c r="J345" s="1" t="s">
        <v>17</v>
      </c>
      <c r="K345" s="1" t="s">
        <v>35</v>
      </c>
      <c r="L345" s="5" t="s">
        <v>46</v>
      </c>
      <c r="M345" s="1" t="s">
        <v>20</v>
      </c>
      <c r="N345" s="1" t="str">
        <f>YEAR(sales_data[[#This Row],[Date]]) &amp; "-" &amp; TEXT(MONTH(sales_data[[#This Row],[Date]]), "00")</f>
        <v>2023-08</v>
      </c>
      <c r="O345" s="1">
        <f xml:space="preserve"> (sales_data[[#This Row],[Sales]]* (100 - sales_data[[#This Row],[Discount]]))/100</f>
        <v>20747.635853777188</v>
      </c>
    </row>
    <row r="346" spans="1:15" x14ac:dyDescent="0.5">
      <c r="A346" s="1" t="s">
        <v>296</v>
      </c>
      <c r="B346" s="1" t="s">
        <v>29</v>
      </c>
      <c r="C346">
        <v>20366.589835941999</v>
      </c>
      <c r="D346">
        <v>15</v>
      </c>
      <c r="E346" s="2">
        <v>45145</v>
      </c>
      <c r="F346" s="1">
        <v>145</v>
      </c>
      <c r="G346" s="1">
        <v>25</v>
      </c>
      <c r="H346" s="1" t="s">
        <v>15</v>
      </c>
      <c r="I346" s="1" t="s">
        <v>33</v>
      </c>
      <c r="J346" s="1" t="s">
        <v>34</v>
      </c>
      <c r="K346" s="1" t="s">
        <v>25</v>
      </c>
      <c r="L346" s="5" t="s">
        <v>46</v>
      </c>
      <c r="M346" s="1" t="s">
        <v>48</v>
      </c>
      <c r="N346" s="1" t="str">
        <f>YEAR(sales_data[[#This Row],[Date]]) &amp; "-" &amp; TEXT(MONTH(sales_data[[#This Row],[Date]]), "00")</f>
        <v>2023-08</v>
      </c>
      <c r="O346" s="1">
        <f xml:space="preserve"> (sales_data[[#This Row],[Sales]]* (100 - sales_data[[#This Row],[Discount]]))/100</f>
        <v>17311.6013605507</v>
      </c>
    </row>
    <row r="347" spans="1:15" x14ac:dyDescent="0.5">
      <c r="A347" s="1" t="s">
        <v>149</v>
      </c>
      <c r="B347" s="1" t="s">
        <v>50</v>
      </c>
      <c r="C347">
        <v>19960.136793416899</v>
      </c>
      <c r="D347">
        <v>0</v>
      </c>
      <c r="E347" s="2">
        <v>45146</v>
      </c>
      <c r="F347" s="1">
        <v>138</v>
      </c>
      <c r="G347" s="1">
        <v>95</v>
      </c>
      <c r="H347" s="1" t="s">
        <v>15</v>
      </c>
      <c r="I347" s="1" t="s">
        <v>33</v>
      </c>
      <c r="J347" s="1" t="s">
        <v>34</v>
      </c>
      <c r="K347" s="1" t="s">
        <v>35</v>
      </c>
      <c r="L347" s="5" t="s">
        <v>38</v>
      </c>
      <c r="M347" s="1" t="s">
        <v>27</v>
      </c>
      <c r="N347" s="1" t="str">
        <f>YEAR(sales_data[[#This Row],[Date]]) &amp; "-" &amp; TEXT(MONTH(sales_data[[#This Row],[Date]]), "00")</f>
        <v>2023-08</v>
      </c>
      <c r="O347" s="1">
        <f xml:space="preserve"> (sales_data[[#This Row],[Sales]]* (100 - sales_data[[#This Row],[Discount]]))/100</f>
        <v>19960.136793416899</v>
      </c>
    </row>
    <row r="348" spans="1:15" x14ac:dyDescent="0.5">
      <c r="A348" s="1" t="s">
        <v>543</v>
      </c>
      <c r="B348" s="1" t="s">
        <v>29</v>
      </c>
      <c r="C348">
        <v>23409.457448131499</v>
      </c>
      <c r="D348">
        <v>5</v>
      </c>
      <c r="E348" s="2">
        <v>45146</v>
      </c>
      <c r="F348" s="1">
        <v>185</v>
      </c>
      <c r="G348" s="1">
        <v>49</v>
      </c>
      <c r="H348" s="1" t="s">
        <v>15</v>
      </c>
      <c r="I348" s="1" t="s">
        <v>23</v>
      </c>
      <c r="J348" s="1" t="s">
        <v>24</v>
      </c>
      <c r="K348" s="1" t="s">
        <v>18</v>
      </c>
      <c r="L348" s="5" t="s">
        <v>43</v>
      </c>
      <c r="M348" s="1" t="s">
        <v>41</v>
      </c>
      <c r="N348" s="1" t="str">
        <f>YEAR(sales_data[[#This Row],[Date]]) &amp; "-" &amp; TEXT(MONTH(sales_data[[#This Row],[Date]]), "00")</f>
        <v>2023-08</v>
      </c>
      <c r="O348" s="1">
        <f xml:space="preserve"> (sales_data[[#This Row],[Sales]]* (100 - sales_data[[#This Row],[Discount]]))/100</f>
        <v>22238.984575724924</v>
      </c>
    </row>
    <row r="349" spans="1:15" x14ac:dyDescent="0.5">
      <c r="A349" s="1" t="s">
        <v>602</v>
      </c>
      <c r="B349" s="1" t="s">
        <v>40</v>
      </c>
      <c r="C349">
        <v>19504.120681102999</v>
      </c>
      <c r="D349">
        <v>15</v>
      </c>
      <c r="E349" s="2">
        <v>45146</v>
      </c>
      <c r="F349" s="1">
        <v>120</v>
      </c>
      <c r="G349" s="1">
        <v>96</v>
      </c>
      <c r="H349" s="1" t="s">
        <v>15</v>
      </c>
      <c r="I349" s="1" t="s">
        <v>23</v>
      </c>
      <c r="J349" s="1" t="s">
        <v>34</v>
      </c>
      <c r="K349" s="1" t="s">
        <v>25</v>
      </c>
      <c r="L349" s="5" t="s">
        <v>26</v>
      </c>
      <c r="M349" s="1" t="s">
        <v>48</v>
      </c>
      <c r="N349" s="1" t="str">
        <f>YEAR(sales_data[[#This Row],[Date]]) &amp; "-" &amp; TEXT(MONTH(sales_data[[#This Row],[Date]]), "00")</f>
        <v>2023-08</v>
      </c>
      <c r="O349" s="1">
        <f xml:space="preserve"> (sales_data[[#This Row],[Sales]]* (100 - sales_data[[#This Row],[Discount]]))/100</f>
        <v>16578.50257893755</v>
      </c>
    </row>
    <row r="350" spans="1:15" x14ac:dyDescent="0.5">
      <c r="A350" s="1" t="s">
        <v>882</v>
      </c>
      <c r="B350" s="1" t="s">
        <v>29</v>
      </c>
      <c r="C350">
        <v>22068.995487257402</v>
      </c>
      <c r="D350">
        <v>10</v>
      </c>
      <c r="E350" s="2">
        <v>45148</v>
      </c>
      <c r="F350" s="1">
        <v>136</v>
      </c>
      <c r="G350" s="1">
        <v>65</v>
      </c>
      <c r="H350" s="1" t="s">
        <v>38</v>
      </c>
      <c r="I350" s="1" t="s">
        <v>33</v>
      </c>
      <c r="J350" s="1" t="s">
        <v>17</v>
      </c>
      <c r="K350" s="1" t="s">
        <v>25</v>
      </c>
      <c r="L350" s="5" t="s">
        <v>54</v>
      </c>
      <c r="M350" s="1" t="s">
        <v>44</v>
      </c>
      <c r="N350" s="1" t="str">
        <f>YEAR(sales_data[[#This Row],[Date]]) &amp; "-" &amp; TEXT(MONTH(sales_data[[#This Row],[Date]]), "00")</f>
        <v>2023-08</v>
      </c>
      <c r="O350" s="1">
        <f xml:space="preserve"> (sales_data[[#This Row],[Sales]]* (100 - sales_data[[#This Row],[Discount]]))/100</f>
        <v>19862.09593853166</v>
      </c>
    </row>
    <row r="351" spans="1:15" x14ac:dyDescent="0.5">
      <c r="A351" s="1" t="s">
        <v>140</v>
      </c>
      <c r="B351" s="1" t="s">
        <v>50</v>
      </c>
      <c r="C351">
        <v>15222.2977969978</v>
      </c>
      <c r="D351">
        <v>0</v>
      </c>
      <c r="E351" s="2">
        <v>45149</v>
      </c>
      <c r="F351" s="1">
        <v>165</v>
      </c>
      <c r="G351" s="1">
        <v>62</v>
      </c>
      <c r="H351" s="1" t="s">
        <v>15</v>
      </c>
      <c r="I351" s="1" t="s">
        <v>16</v>
      </c>
      <c r="J351" s="1" t="s">
        <v>17</v>
      </c>
      <c r="K351" s="1" t="s">
        <v>35</v>
      </c>
      <c r="L351" s="5" t="s">
        <v>36</v>
      </c>
      <c r="M351" s="1" t="s">
        <v>31</v>
      </c>
      <c r="N351" s="1" t="str">
        <f>YEAR(sales_data[[#This Row],[Date]]) &amp; "-" &amp; TEXT(MONTH(sales_data[[#This Row],[Date]]), "00")</f>
        <v>2023-08</v>
      </c>
      <c r="O351" s="1">
        <f xml:space="preserve"> (sales_data[[#This Row],[Sales]]* (100 - sales_data[[#This Row],[Discount]]))/100</f>
        <v>15222.2977969978</v>
      </c>
    </row>
    <row r="352" spans="1:15" x14ac:dyDescent="0.5">
      <c r="A352" s="1" t="s">
        <v>952</v>
      </c>
      <c r="B352" s="1" t="s">
        <v>40</v>
      </c>
      <c r="C352">
        <v>24192.4538722582</v>
      </c>
      <c r="D352">
        <v>10</v>
      </c>
      <c r="E352" s="2">
        <v>45149</v>
      </c>
      <c r="F352" s="1">
        <v>155</v>
      </c>
      <c r="G352" s="1">
        <v>57</v>
      </c>
      <c r="H352" s="1" t="s">
        <v>15</v>
      </c>
      <c r="I352" s="1" t="s">
        <v>16</v>
      </c>
      <c r="J352" s="1" t="s">
        <v>24</v>
      </c>
      <c r="K352" s="1" t="s">
        <v>18</v>
      </c>
      <c r="L352" s="5" t="s">
        <v>38</v>
      </c>
      <c r="M352" s="1" t="s">
        <v>48</v>
      </c>
      <c r="N352" s="1" t="str">
        <f>YEAR(sales_data[[#This Row],[Date]]) &amp; "-" &amp; TEXT(MONTH(sales_data[[#This Row],[Date]]), "00")</f>
        <v>2023-08</v>
      </c>
      <c r="O352" s="1">
        <f xml:space="preserve"> (sales_data[[#This Row],[Sales]]* (100 - sales_data[[#This Row],[Discount]]))/100</f>
        <v>21773.208485032381</v>
      </c>
    </row>
    <row r="353" spans="1:15" x14ac:dyDescent="0.5">
      <c r="A353" s="1" t="s">
        <v>622</v>
      </c>
      <c r="B353" s="1" t="s">
        <v>50</v>
      </c>
      <c r="C353">
        <v>23545.018787942499</v>
      </c>
      <c r="D353">
        <v>0</v>
      </c>
      <c r="E353" s="2">
        <v>45151</v>
      </c>
      <c r="F353" s="1">
        <v>199</v>
      </c>
      <c r="G353" s="1">
        <v>93</v>
      </c>
      <c r="H353" s="1" t="s">
        <v>38</v>
      </c>
      <c r="I353" s="1" t="s">
        <v>16</v>
      </c>
      <c r="J353" s="1" t="s">
        <v>34</v>
      </c>
      <c r="K353" s="1" t="s">
        <v>18</v>
      </c>
      <c r="L353" s="5" t="s">
        <v>46</v>
      </c>
      <c r="M353" s="1" t="s">
        <v>31</v>
      </c>
      <c r="N353" s="1" t="str">
        <f>YEAR(sales_data[[#This Row],[Date]]) &amp; "-" &amp; TEXT(MONTH(sales_data[[#This Row],[Date]]), "00")</f>
        <v>2023-08</v>
      </c>
      <c r="O353" s="1">
        <f xml:space="preserve"> (sales_data[[#This Row],[Sales]]* (100 - sales_data[[#This Row],[Discount]]))/100</f>
        <v>23545.018787942499</v>
      </c>
    </row>
    <row r="354" spans="1:15" x14ac:dyDescent="0.5">
      <c r="A354" s="1" t="s">
        <v>458</v>
      </c>
      <c r="B354" s="1" t="s">
        <v>29</v>
      </c>
      <c r="C354">
        <v>20148.780697478702</v>
      </c>
      <c r="D354">
        <v>0</v>
      </c>
      <c r="E354" s="2">
        <v>45153</v>
      </c>
      <c r="F354" s="1">
        <v>133</v>
      </c>
      <c r="G354" s="1">
        <v>55</v>
      </c>
      <c r="H354" s="1" t="s">
        <v>15</v>
      </c>
      <c r="I354" s="1" t="s">
        <v>33</v>
      </c>
      <c r="J354" s="1" t="s">
        <v>24</v>
      </c>
      <c r="K354" s="1" t="s">
        <v>25</v>
      </c>
      <c r="L354" s="5" t="s">
        <v>36</v>
      </c>
      <c r="M354" s="1" t="s">
        <v>20</v>
      </c>
      <c r="N354" s="1" t="str">
        <f>YEAR(sales_data[[#This Row],[Date]]) &amp; "-" &amp; TEXT(MONTH(sales_data[[#This Row],[Date]]), "00")</f>
        <v>2023-08</v>
      </c>
      <c r="O354" s="1">
        <f xml:space="preserve"> (sales_data[[#This Row],[Sales]]* (100 - sales_data[[#This Row],[Discount]]))/100</f>
        <v>20148.780697478702</v>
      </c>
    </row>
    <row r="355" spans="1:15" x14ac:dyDescent="0.5">
      <c r="A355" s="1" t="s">
        <v>752</v>
      </c>
      <c r="B355" s="1" t="s">
        <v>22</v>
      </c>
      <c r="C355">
        <v>20259.729429036499</v>
      </c>
      <c r="D355">
        <v>5</v>
      </c>
      <c r="E355" s="2">
        <v>45153</v>
      </c>
      <c r="F355" s="1">
        <v>155</v>
      </c>
      <c r="G355" s="1">
        <v>22</v>
      </c>
      <c r="H355" s="1" t="s">
        <v>15</v>
      </c>
      <c r="I355" s="1" t="s">
        <v>33</v>
      </c>
      <c r="J355" s="1" t="s">
        <v>24</v>
      </c>
      <c r="K355" s="1" t="s">
        <v>25</v>
      </c>
      <c r="L355" s="5" t="s">
        <v>58</v>
      </c>
      <c r="M355" s="1" t="s">
        <v>20</v>
      </c>
      <c r="N355" s="1" t="str">
        <f>YEAR(sales_data[[#This Row],[Date]]) &amp; "-" &amp; TEXT(MONTH(sales_data[[#This Row],[Date]]), "00")</f>
        <v>2023-08</v>
      </c>
      <c r="O355" s="1">
        <f xml:space="preserve"> (sales_data[[#This Row],[Sales]]* (100 - sales_data[[#This Row],[Discount]]))/100</f>
        <v>19246.742957584673</v>
      </c>
    </row>
    <row r="356" spans="1:15" x14ac:dyDescent="0.5">
      <c r="A356" s="1" t="s">
        <v>853</v>
      </c>
      <c r="B356" s="1" t="s">
        <v>50</v>
      </c>
      <c r="C356">
        <v>12035.031332341599</v>
      </c>
      <c r="D356">
        <v>10</v>
      </c>
      <c r="E356" s="2">
        <v>45153</v>
      </c>
      <c r="F356" s="1">
        <v>105</v>
      </c>
      <c r="G356" s="1">
        <v>38</v>
      </c>
      <c r="H356" s="1" t="s">
        <v>15</v>
      </c>
      <c r="I356" s="1" t="s">
        <v>33</v>
      </c>
      <c r="J356" s="1" t="s">
        <v>24</v>
      </c>
      <c r="K356" s="1" t="s">
        <v>25</v>
      </c>
      <c r="L356" s="5" t="s">
        <v>85</v>
      </c>
      <c r="M356" s="1" t="s">
        <v>44</v>
      </c>
      <c r="N356" s="1" t="str">
        <f>YEAR(sales_data[[#This Row],[Date]]) &amp; "-" &amp; TEXT(MONTH(sales_data[[#This Row],[Date]]), "00")</f>
        <v>2023-08</v>
      </c>
      <c r="O356" s="1">
        <f xml:space="preserve"> (sales_data[[#This Row],[Sales]]* (100 - sales_data[[#This Row],[Discount]]))/100</f>
        <v>10831.528199107439</v>
      </c>
    </row>
    <row r="357" spans="1:15" x14ac:dyDescent="0.5">
      <c r="A357" s="1" t="s">
        <v>164</v>
      </c>
      <c r="B357" s="1" t="s">
        <v>29</v>
      </c>
      <c r="C357">
        <v>17564.373081176502</v>
      </c>
      <c r="D357">
        <v>0</v>
      </c>
      <c r="E357" s="2">
        <v>45154</v>
      </c>
      <c r="F357" s="1">
        <v>140</v>
      </c>
      <c r="G357" s="1">
        <v>82</v>
      </c>
      <c r="H357" s="1" t="s">
        <v>38</v>
      </c>
      <c r="I357" s="1" t="s">
        <v>33</v>
      </c>
      <c r="J357" s="1" t="s">
        <v>17</v>
      </c>
      <c r="K357" s="1" t="s">
        <v>18</v>
      </c>
      <c r="L357" s="5" t="s">
        <v>85</v>
      </c>
      <c r="M357" s="1" t="s">
        <v>55</v>
      </c>
      <c r="N357" s="1" t="str">
        <f>YEAR(sales_data[[#This Row],[Date]]) &amp; "-" &amp; TEXT(MONTH(sales_data[[#This Row],[Date]]), "00")</f>
        <v>2023-08</v>
      </c>
      <c r="O357" s="1">
        <f xml:space="preserve"> (sales_data[[#This Row],[Sales]]* (100 - sales_data[[#This Row],[Discount]]))/100</f>
        <v>17564.373081176502</v>
      </c>
    </row>
    <row r="358" spans="1:15" x14ac:dyDescent="0.5">
      <c r="A358" s="1" t="s">
        <v>380</v>
      </c>
      <c r="B358" s="1" t="s">
        <v>22</v>
      </c>
      <c r="C358">
        <v>11449.158036716801</v>
      </c>
      <c r="D358">
        <v>15</v>
      </c>
      <c r="E358" s="2">
        <v>45154</v>
      </c>
      <c r="F358" s="1">
        <v>196</v>
      </c>
      <c r="G358" s="1">
        <v>73</v>
      </c>
      <c r="H358" s="1" t="s">
        <v>38</v>
      </c>
      <c r="I358" s="1" t="s">
        <v>23</v>
      </c>
      <c r="J358" s="1" t="s">
        <v>34</v>
      </c>
      <c r="K358" s="1" t="s">
        <v>35</v>
      </c>
      <c r="L358" s="5" t="s">
        <v>30</v>
      </c>
      <c r="M358" s="1" t="s">
        <v>27</v>
      </c>
      <c r="N358" s="1" t="str">
        <f>YEAR(sales_data[[#This Row],[Date]]) &amp; "-" &amp; TEXT(MONTH(sales_data[[#This Row],[Date]]), "00")</f>
        <v>2023-08</v>
      </c>
      <c r="O358" s="1">
        <f xml:space="preserve"> (sales_data[[#This Row],[Sales]]* (100 - sales_data[[#This Row],[Discount]]))/100</f>
        <v>9731.7843312092809</v>
      </c>
    </row>
    <row r="359" spans="1:15" x14ac:dyDescent="0.5">
      <c r="A359" s="1" t="s">
        <v>552</v>
      </c>
      <c r="B359" s="1" t="s">
        <v>14</v>
      </c>
      <c r="C359">
        <v>25846.477952228299</v>
      </c>
      <c r="D359">
        <v>5</v>
      </c>
      <c r="E359" s="2">
        <v>45154</v>
      </c>
      <c r="F359" s="1">
        <v>168</v>
      </c>
      <c r="G359" s="1">
        <v>13</v>
      </c>
      <c r="H359" s="1" t="s">
        <v>15</v>
      </c>
      <c r="I359" s="1" t="s">
        <v>23</v>
      </c>
      <c r="J359" s="1" t="s">
        <v>17</v>
      </c>
      <c r="K359" s="1" t="s">
        <v>25</v>
      </c>
      <c r="L359" s="5" t="s">
        <v>38</v>
      </c>
      <c r="M359" s="1" t="s">
        <v>44</v>
      </c>
      <c r="N359" s="1" t="str">
        <f>YEAR(sales_data[[#This Row],[Date]]) &amp; "-" &amp; TEXT(MONTH(sales_data[[#This Row],[Date]]), "00")</f>
        <v>2023-08</v>
      </c>
      <c r="O359" s="1">
        <f xml:space="preserve"> (sales_data[[#This Row],[Sales]]* (100 - sales_data[[#This Row],[Discount]]))/100</f>
        <v>24554.154054616884</v>
      </c>
    </row>
    <row r="360" spans="1:15" x14ac:dyDescent="0.5">
      <c r="A360" s="1" t="s">
        <v>118</v>
      </c>
      <c r="B360" s="1" t="s">
        <v>50</v>
      </c>
      <c r="C360">
        <v>14010.6105370557</v>
      </c>
      <c r="D360">
        <v>0</v>
      </c>
      <c r="E360" s="2">
        <v>45155</v>
      </c>
      <c r="F360" s="1">
        <v>183</v>
      </c>
      <c r="G360" s="1">
        <v>58</v>
      </c>
      <c r="H360" s="1" t="s">
        <v>15</v>
      </c>
      <c r="I360" s="1" t="s">
        <v>23</v>
      </c>
      <c r="J360" s="1" t="s">
        <v>24</v>
      </c>
      <c r="K360" s="1" t="s">
        <v>18</v>
      </c>
      <c r="L360" s="5" t="s">
        <v>46</v>
      </c>
      <c r="M360" s="1" t="s">
        <v>20</v>
      </c>
      <c r="N360" s="1" t="str">
        <f>YEAR(sales_data[[#This Row],[Date]]) &amp; "-" &amp; TEXT(MONTH(sales_data[[#This Row],[Date]]), "00")</f>
        <v>2023-08</v>
      </c>
      <c r="O360" s="1">
        <f xml:space="preserve"> (sales_data[[#This Row],[Sales]]* (100 - sales_data[[#This Row],[Discount]]))/100</f>
        <v>14010.6105370557</v>
      </c>
    </row>
    <row r="361" spans="1:15" x14ac:dyDescent="0.5">
      <c r="A361" s="1" t="s">
        <v>369</v>
      </c>
      <c r="B361" s="1" t="s">
        <v>50</v>
      </c>
      <c r="C361">
        <v>21055.087336012999</v>
      </c>
      <c r="D361">
        <v>15</v>
      </c>
      <c r="E361" s="2">
        <v>45155</v>
      </c>
      <c r="F361" s="1">
        <v>150</v>
      </c>
      <c r="G361" s="1">
        <v>59</v>
      </c>
      <c r="H361" s="1" t="s">
        <v>15</v>
      </c>
      <c r="I361" s="1" t="s">
        <v>23</v>
      </c>
      <c r="J361" s="1" t="s">
        <v>24</v>
      </c>
      <c r="K361" s="1" t="s">
        <v>18</v>
      </c>
      <c r="L361" s="5" t="s">
        <v>58</v>
      </c>
      <c r="M361" s="1" t="s">
        <v>41</v>
      </c>
      <c r="N361" s="1" t="str">
        <f>YEAR(sales_data[[#This Row],[Date]]) &amp; "-" &amp; TEXT(MONTH(sales_data[[#This Row],[Date]]), "00")</f>
        <v>2023-08</v>
      </c>
      <c r="O361" s="1">
        <f xml:space="preserve"> (sales_data[[#This Row],[Sales]]* (100 - sales_data[[#This Row],[Discount]]))/100</f>
        <v>17896.82423561105</v>
      </c>
    </row>
    <row r="362" spans="1:15" x14ac:dyDescent="0.5">
      <c r="A362" s="1" t="s">
        <v>474</v>
      </c>
      <c r="B362" s="1" t="s">
        <v>22</v>
      </c>
      <c r="C362">
        <v>0</v>
      </c>
      <c r="D362">
        <v>15</v>
      </c>
      <c r="E362" s="2">
        <v>45157</v>
      </c>
      <c r="F362" s="1">
        <v>130</v>
      </c>
      <c r="G362" s="1">
        <v>41</v>
      </c>
      <c r="H362" s="1" t="s">
        <v>15</v>
      </c>
      <c r="I362" s="1" t="s">
        <v>23</v>
      </c>
      <c r="J362" s="1" t="s">
        <v>24</v>
      </c>
      <c r="K362" s="1" t="s">
        <v>25</v>
      </c>
      <c r="L362" s="5" t="s">
        <v>30</v>
      </c>
      <c r="M362" s="1" t="s">
        <v>41</v>
      </c>
      <c r="N362" s="1" t="str">
        <f>YEAR(sales_data[[#This Row],[Date]]) &amp; "-" &amp; TEXT(MONTH(sales_data[[#This Row],[Date]]), "00")</f>
        <v>2023-08</v>
      </c>
      <c r="O362" s="1">
        <f xml:space="preserve"> (sales_data[[#This Row],[Sales]]* (100 - sales_data[[#This Row],[Discount]]))/100</f>
        <v>0</v>
      </c>
    </row>
    <row r="363" spans="1:15" x14ac:dyDescent="0.5">
      <c r="A363" s="1" t="s">
        <v>297</v>
      </c>
      <c r="B363" s="1" t="s">
        <v>22</v>
      </c>
      <c r="C363">
        <v>13550.1955012947</v>
      </c>
      <c r="D363">
        <v>5</v>
      </c>
      <c r="E363" s="2">
        <v>45160</v>
      </c>
      <c r="F363" s="1">
        <v>120</v>
      </c>
      <c r="G363" s="1">
        <v>28</v>
      </c>
      <c r="H363" s="1" t="s">
        <v>15</v>
      </c>
      <c r="I363" s="1" t="s">
        <v>23</v>
      </c>
      <c r="J363" s="1" t="s">
        <v>24</v>
      </c>
      <c r="K363" s="1" t="s">
        <v>18</v>
      </c>
      <c r="L363" s="5" t="s">
        <v>54</v>
      </c>
      <c r="M363" s="1" t="s">
        <v>20</v>
      </c>
      <c r="N363" s="1" t="str">
        <f>YEAR(sales_data[[#This Row],[Date]]) &amp; "-" &amp; TEXT(MONTH(sales_data[[#This Row],[Date]]), "00")</f>
        <v>2023-08</v>
      </c>
      <c r="O363" s="1">
        <f xml:space="preserve"> (sales_data[[#This Row],[Sales]]* (100 - sales_data[[#This Row],[Discount]]))/100</f>
        <v>12872.685726229965</v>
      </c>
    </row>
    <row r="364" spans="1:15" x14ac:dyDescent="0.5">
      <c r="A364" s="1" t="s">
        <v>512</v>
      </c>
      <c r="B364" s="1" t="s">
        <v>29</v>
      </c>
      <c r="C364">
        <v>25945.082655537699</v>
      </c>
      <c r="D364">
        <v>15</v>
      </c>
      <c r="E364" s="2">
        <v>45160</v>
      </c>
      <c r="F364" s="1">
        <v>113</v>
      </c>
      <c r="G364" s="1">
        <v>28</v>
      </c>
      <c r="H364" s="1" t="s">
        <v>15</v>
      </c>
      <c r="I364" s="1" t="s">
        <v>16</v>
      </c>
      <c r="J364" s="1" t="s">
        <v>17</v>
      </c>
      <c r="K364" s="1" t="s">
        <v>35</v>
      </c>
      <c r="L364" s="5" t="s">
        <v>46</v>
      </c>
      <c r="M364" s="1" t="s">
        <v>31</v>
      </c>
      <c r="N364" s="1" t="str">
        <f>YEAR(sales_data[[#This Row],[Date]]) &amp; "-" &amp; TEXT(MONTH(sales_data[[#This Row],[Date]]), "00")</f>
        <v>2023-08</v>
      </c>
      <c r="O364" s="1">
        <f xml:space="preserve"> (sales_data[[#This Row],[Sales]]* (100 - sales_data[[#This Row],[Discount]]))/100</f>
        <v>22053.320257207044</v>
      </c>
    </row>
    <row r="365" spans="1:15" x14ac:dyDescent="0.5">
      <c r="A365" s="1" t="s">
        <v>196</v>
      </c>
      <c r="B365" s="1" t="s">
        <v>14</v>
      </c>
      <c r="C365">
        <v>18077.222278850801</v>
      </c>
      <c r="D365">
        <v>0</v>
      </c>
      <c r="E365" s="2">
        <v>45161</v>
      </c>
      <c r="F365" s="1">
        <v>143</v>
      </c>
      <c r="G365" s="1">
        <v>84</v>
      </c>
      <c r="H365" s="1" t="s">
        <v>15</v>
      </c>
      <c r="I365" s="1" t="s">
        <v>33</v>
      </c>
      <c r="J365" s="1" t="s">
        <v>24</v>
      </c>
      <c r="K365" s="1" t="s">
        <v>35</v>
      </c>
      <c r="L365" s="5" t="s">
        <v>38</v>
      </c>
      <c r="M365" s="1" t="s">
        <v>55</v>
      </c>
      <c r="N365" s="1" t="str">
        <f>YEAR(sales_data[[#This Row],[Date]]) &amp; "-" &amp; TEXT(MONTH(sales_data[[#This Row],[Date]]), "00")</f>
        <v>2023-08</v>
      </c>
      <c r="O365" s="1">
        <f xml:space="preserve"> (sales_data[[#This Row],[Sales]]* (100 - sales_data[[#This Row],[Discount]]))/100</f>
        <v>18077.222278850801</v>
      </c>
    </row>
    <row r="366" spans="1:15" x14ac:dyDescent="0.5">
      <c r="A366" s="1" t="s">
        <v>506</v>
      </c>
      <c r="B366" s="1" t="s">
        <v>29</v>
      </c>
      <c r="C366">
        <v>32276.500699554399</v>
      </c>
      <c r="D366">
        <v>10</v>
      </c>
      <c r="E366" s="2">
        <v>45161</v>
      </c>
      <c r="F366" s="1">
        <v>199</v>
      </c>
      <c r="G366" s="1">
        <v>42</v>
      </c>
      <c r="H366" s="1" t="s">
        <v>15</v>
      </c>
      <c r="I366" s="1" t="s">
        <v>16</v>
      </c>
      <c r="J366" s="1" t="s">
        <v>24</v>
      </c>
      <c r="K366" s="1" t="s">
        <v>35</v>
      </c>
      <c r="L366" s="5" t="s">
        <v>85</v>
      </c>
      <c r="M366" s="1" t="s">
        <v>44</v>
      </c>
      <c r="N366" s="1" t="str">
        <f>YEAR(sales_data[[#This Row],[Date]]) &amp; "-" &amp; TEXT(MONTH(sales_data[[#This Row],[Date]]), "00")</f>
        <v>2023-08</v>
      </c>
      <c r="O366" s="1">
        <f xml:space="preserve"> (sales_data[[#This Row],[Sales]]* (100 - sales_data[[#This Row],[Discount]]))/100</f>
        <v>29048.850629598961</v>
      </c>
    </row>
    <row r="367" spans="1:15" x14ac:dyDescent="0.5">
      <c r="A367" s="1" t="s">
        <v>541</v>
      </c>
      <c r="B367" s="1" t="s">
        <v>14</v>
      </c>
      <c r="C367">
        <v>17552.8027874088</v>
      </c>
      <c r="D367">
        <v>0</v>
      </c>
      <c r="E367" s="2">
        <v>45162</v>
      </c>
      <c r="F367" s="1">
        <v>117</v>
      </c>
      <c r="G367" s="1">
        <v>77</v>
      </c>
      <c r="H367" s="1" t="s">
        <v>15</v>
      </c>
      <c r="I367" s="1" t="s">
        <v>23</v>
      </c>
      <c r="J367" s="1" t="s">
        <v>17</v>
      </c>
      <c r="K367" s="1" t="s">
        <v>35</v>
      </c>
      <c r="L367" s="5" t="s">
        <v>38</v>
      </c>
      <c r="M367" s="1" t="s">
        <v>44</v>
      </c>
      <c r="N367" s="1" t="str">
        <f>YEAR(sales_data[[#This Row],[Date]]) &amp; "-" &amp; TEXT(MONTH(sales_data[[#This Row],[Date]]), "00")</f>
        <v>2023-08</v>
      </c>
      <c r="O367" s="1">
        <f xml:space="preserve"> (sales_data[[#This Row],[Sales]]* (100 - sales_data[[#This Row],[Discount]]))/100</f>
        <v>17552.8027874088</v>
      </c>
    </row>
    <row r="368" spans="1:15" x14ac:dyDescent="0.5">
      <c r="A368" s="1" t="s">
        <v>615</v>
      </c>
      <c r="B368" s="1" t="s">
        <v>50</v>
      </c>
      <c r="C368">
        <v>21713.6267318885</v>
      </c>
      <c r="D368">
        <v>10</v>
      </c>
      <c r="E368" s="2">
        <v>45162</v>
      </c>
      <c r="F368" s="1">
        <v>117</v>
      </c>
      <c r="G368" s="1">
        <v>66</v>
      </c>
      <c r="H368" s="1" t="s">
        <v>15</v>
      </c>
      <c r="I368" s="1" t="s">
        <v>33</v>
      </c>
      <c r="J368" s="1" t="s">
        <v>24</v>
      </c>
      <c r="K368" s="1" t="s">
        <v>18</v>
      </c>
      <c r="L368" s="5" t="s">
        <v>58</v>
      </c>
      <c r="M368" s="1" t="s">
        <v>27</v>
      </c>
      <c r="N368" s="1" t="str">
        <f>YEAR(sales_data[[#This Row],[Date]]) &amp; "-" &amp; TEXT(MONTH(sales_data[[#This Row],[Date]]), "00")</f>
        <v>2023-08</v>
      </c>
      <c r="O368" s="1">
        <f xml:space="preserve"> (sales_data[[#This Row],[Sales]]* (100 - sales_data[[#This Row],[Discount]]))/100</f>
        <v>19542.264058699649</v>
      </c>
    </row>
    <row r="369" spans="1:15" x14ac:dyDescent="0.5">
      <c r="A369" s="1" t="s">
        <v>394</v>
      </c>
      <c r="B369" s="1" t="s">
        <v>14</v>
      </c>
      <c r="C369">
        <v>22362.987412065198</v>
      </c>
      <c r="D369">
        <v>15</v>
      </c>
      <c r="E369" s="2">
        <v>45163</v>
      </c>
      <c r="F369" s="1">
        <v>195</v>
      </c>
      <c r="G369" s="1">
        <v>2</v>
      </c>
      <c r="H369" s="1" t="s">
        <v>15</v>
      </c>
      <c r="I369" s="1" t="s">
        <v>33</v>
      </c>
      <c r="J369" s="1" t="s">
        <v>34</v>
      </c>
      <c r="K369" s="1" t="s">
        <v>25</v>
      </c>
      <c r="L369" s="5" t="s">
        <v>30</v>
      </c>
      <c r="M369" s="1" t="s">
        <v>20</v>
      </c>
      <c r="N369" s="1" t="str">
        <f>YEAR(sales_data[[#This Row],[Date]]) &amp; "-" &amp; TEXT(MONTH(sales_data[[#This Row],[Date]]), "00")</f>
        <v>2023-08</v>
      </c>
      <c r="O369" s="1">
        <f xml:space="preserve"> (sales_data[[#This Row],[Sales]]* (100 - sales_data[[#This Row],[Discount]]))/100</f>
        <v>19008.539300255419</v>
      </c>
    </row>
    <row r="370" spans="1:15" x14ac:dyDescent="0.5">
      <c r="A370" s="1" t="s">
        <v>721</v>
      </c>
      <c r="B370" s="1" t="s">
        <v>22</v>
      </c>
      <c r="C370">
        <v>25743.828501860498</v>
      </c>
      <c r="D370">
        <v>15</v>
      </c>
      <c r="E370" s="2">
        <v>45164</v>
      </c>
      <c r="F370" s="1">
        <v>176</v>
      </c>
      <c r="G370" s="1">
        <v>67</v>
      </c>
      <c r="H370" s="1" t="s">
        <v>15</v>
      </c>
      <c r="I370" s="1" t="s">
        <v>23</v>
      </c>
      <c r="J370" s="1" t="s">
        <v>17</v>
      </c>
      <c r="K370" s="1" t="s">
        <v>35</v>
      </c>
      <c r="L370" s="5" t="s">
        <v>38</v>
      </c>
      <c r="M370" s="1" t="s">
        <v>20</v>
      </c>
      <c r="N370" s="1" t="str">
        <f>YEAR(sales_data[[#This Row],[Date]]) &amp; "-" &amp; TEXT(MONTH(sales_data[[#This Row],[Date]]), "00")</f>
        <v>2023-08</v>
      </c>
      <c r="O370" s="1">
        <f xml:space="preserve"> (sales_data[[#This Row],[Sales]]* (100 - sales_data[[#This Row],[Discount]]))/100</f>
        <v>21882.254226581423</v>
      </c>
    </row>
    <row r="371" spans="1:15" x14ac:dyDescent="0.5">
      <c r="A371" s="1" t="s">
        <v>887</v>
      </c>
      <c r="B371" s="1" t="s">
        <v>29</v>
      </c>
      <c r="C371">
        <v>24819.395583974499</v>
      </c>
      <c r="D371">
        <v>0</v>
      </c>
      <c r="E371" s="2">
        <v>45164</v>
      </c>
      <c r="F371" s="1">
        <v>141</v>
      </c>
      <c r="G371" s="1">
        <v>47</v>
      </c>
      <c r="H371" s="1" t="s">
        <v>15</v>
      </c>
      <c r="I371" s="1" t="s">
        <v>33</v>
      </c>
      <c r="J371" s="1" t="s">
        <v>34</v>
      </c>
      <c r="K371" s="1" t="s">
        <v>35</v>
      </c>
      <c r="L371" s="5" t="s">
        <v>36</v>
      </c>
      <c r="M371" s="1" t="s">
        <v>48</v>
      </c>
      <c r="N371" s="1" t="str">
        <f>YEAR(sales_data[[#This Row],[Date]]) &amp; "-" &amp; TEXT(MONTH(sales_data[[#This Row],[Date]]), "00")</f>
        <v>2023-08</v>
      </c>
      <c r="O371" s="1">
        <f xml:space="preserve"> (sales_data[[#This Row],[Sales]]* (100 - sales_data[[#This Row],[Discount]]))/100</f>
        <v>24819.395583974499</v>
      </c>
    </row>
    <row r="372" spans="1:15" x14ac:dyDescent="0.5">
      <c r="A372" s="1" t="s">
        <v>999</v>
      </c>
      <c r="B372" s="1" t="s">
        <v>14</v>
      </c>
      <c r="C372">
        <v>20802.869905249299</v>
      </c>
      <c r="D372">
        <v>5</v>
      </c>
      <c r="E372" s="2">
        <v>45164</v>
      </c>
      <c r="F372" s="1">
        <v>148</v>
      </c>
      <c r="G372" s="1">
        <v>36</v>
      </c>
      <c r="H372" s="1" t="s">
        <v>15</v>
      </c>
      <c r="I372" s="1" t="s">
        <v>33</v>
      </c>
      <c r="J372" s="1" t="s">
        <v>17</v>
      </c>
      <c r="K372" s="1" t="s">
        <v>25</v>
      </c>
      <c r="L372" s="5" t="s">
        <v>26</v>
      </c>
      <c r="M372" s="1" t="s">
        <v>27</v>
      </c>
      <c r="N372" s="1" t="str">
        <f>YEAR(sales_data[[#This Row],[Date]]) &amp; "-" &amp; TEXT(MONTH(sales_data[[#This Row],[Date]]), "00")</f>
        <v>2023-08</v>
      </c>
      <c r="O372" s="1">
        <f xml:space="preserve"> (sales_data[[#This Row],[Sales]]* (100 - sales_data[[#This Row],[Discount]]))/100</f>
        <v>19762.726409986833</v>
      </c>
    </row>
    <row r="373" spans="1:15" x14ac:dyDescent="0.5">
      <c r="A373" s="1" t="s">
        <v>203</v>
      </c>
      <c r="B373" s="1" t="s">
        <v>29</v>
      </c>
      <c r="C373">
        <v>7641.7774993635503</v>
      </c>
      <c r="D373">
        <v>10</v>
      </c>
      <c r="E373" s="2">
        <v>45165</v>
      </c>
      <c r="F373" s="1">
        <v>131</v>
      </c>
      <c r="G373" s="1">
        <v>19</v>
      </c>
      <c r="H373" s="1" t="s">
        <v>38</v>
      </c>
      <c r="I373" s="1" t="s">
        <v>16</v>
      </c>
      <c r="J373" s="1" t="s">
        <v>34</v>
      </c>
      <c r="K373" s="1" t="s">
        <v>25</v>
      </c>
      <c r="L373" s="5" t="s">
        <v>46</v>
      </c>
      <c r="M373" s="1" t="s">
        <v>31</v>
      </c>
      <c r="N373" s="1" t="str">
        <f>YEAR(sales_data[[#This Row],[Date]]) &amp; "-" &amp; TEXT(MONTH(sales_data[[#This Row],[Date]]), "00")</f>
        <v>2023-08</v>
      </c>
      <c r="O373" s="1">
        <f xml:space="preserve"> (sales_data[[#This Row],[Sales]]* (100 - sales_data[[#This Row],[Discount]]))/100</f>
        <v>6877.599749427196</v>
      </c>
    </row>
    <row r="374" spans="1:15" x14ac:dyDescent="0.5">
      <c r="A374" s="1" t="s">
        <v>408</v>
      </c>
      <c r="B374" s="1" t="s">
        <v>50</v>
      </c>
      <c r="C374">
        <v>12966.6945157588</v>
      </c>
      <c r="D374">
        <v>10</v>
      </c>
      <c r="E374" s="2">
        <v>45165</v>
      </c>
      <c r="F374" s="1">
        <v>140</v>
      </c>
      <c r="G374" s="1">
        <v>58</v>
      </c>
      <c r="H374" s="1" t="s">
        <v>38</v>
      </c>
      <c r="I374" s="1" t="s">
        <v>16</v>
      </c>
      <c r="J374" s="1" t="s">
        <v>17</v>
      </c>
      <c r="K374" s="1" t="s">
        <v>35</v>
      </c>
      <c r="L374" s="5" t="s">
        <v>36</v>
      </c>
      <c r="M374" s="1" t="s">
        <v>41</v>
      </c>
      <c r="N374" s="1" t="str">
        <f>YEAR(sales_data[[#This Row],[Date]]) &amp; "-" &amp; TEXT(MONTH(sales_data[[#This Row],[Date]]), "00")</f>
        <v>2023-08</v>
      </c>
      <c r="O374" s="1">
        <f xml:space="preserve"> (sales_data[[#This Row],[Sales]]* (100 - sales_data[[#This Row],[Discount]]))/100</f>
        <v>11670.025064182919</v>
      </c>
    </row>
    <row r="375" spans="1:15" x14ac:dyDescent="0.5">
      <c r="A375" s="1" t="s">
        <v>417</v>
      </c>
      <c r="B375" s="1" t="s">
        <v>50</v>
      </c>
      <c r="C375">
        <v>15708.2110990939</v>
      </c>
      <c r="D375">
        <v>5</v>
      </c>
      <c r="E375" s="2">
        <v>45165</v>
      </c>
      <c r="F375" s="1">
        <v>118</v>
      </c>
      <c r="G375" s="1">
        <v>68</v>
      </c>
      <c r="H375" s="1" t="s">
        <v>15</v>
      </c>
      <c r="I375" s="1" t="s">
        <v>16</v>
      </c>
      <c r="J375" s="1" t="s">
        <v>34</v>
      </c>
      <c r="K375" s="1" t="s">
        <v>18</v>
      </c>
      <c r="L375" s="5" t="s">
        <v>85</v>
      </c>
      <c r="M375" s="1" t="s">
        <v>31</v>
      </c>
      <c r="N375" s="1" t="str">
        <f>YEAR(sales_data[[#This Row],[Date]]) &amp; "-" &amp; TEXT(MONTH(sales_data[[#This Row],[Date]]), "00")</f>
        <v>2023-08</v>
      </c>
      <c r="O375" s="1">
        <f xml:space="preserve"> (sales_data[[#This Row],[Sales]]* (100 - sales_data[[#This Row],[Discount]]))/100</f>
        <v>14922.800544139205</v>
      </c>
    </row>
    <row r="376" spans="1:15" x14ac:dyDescent="0.5">
      <c r="A376" s="1" t="s">
        <v>546</v>
      </c>
      <c r="B376" s="1" t="s">
        <v>29</v>
      </c>
      <c r="C376">
        <v>18203.539546064701</v>
      </c>
      <c r="D376">
        <v>5</v>
      </c>
      <c r="E376" s="2">
        <v>45165</v>
      </c>
      <c r="F376" s="1">
        <v>186</v>
      </c>
      <c r="G376" s="1">
        <v>29</v>
      </c>
      <c r="H376" s="1" t="s">
        <v>15</v>
      </c>
      <c r="I376" s="1" t="s">
        <v>16</v>
      </c>
      <c r="J376" s="1" t="s">
        <v>34</v>
      </c>
      <c r="K376" s="1" t="s">
        <v>18</v>
      </c>
      <c r="L376" s="5" t="s">
        <v>26</v>
      </c>
      <c r="M376" s="1" t="s">
        <v>31</v>
      </c>
      <c r="N376" s="1" t="str">
        <f>YEAR(sales_data[[#This Row],[Date]]) &amp; "-" &amp; TEXT(MONTH(sales_data[[#This Row],[Date]]), "00")</f>
        <v>2023-08</v>
      </c>
      <c r="O376" s="1">
        <f xml:space="preserve"> (sales_data[[#This Row],[Sales]]* (100 - sales_data[[#This Row],[Discount]]))/100</f>
        <v>17293.362568761466</v>
      </c>
    </row>
    <row r="377" spans="1:15" x14ac:dyDescent="0.5">
      <c r="A377" s="1" t="s">
        <v>612</v>
      </c>
      <c r="B377" s="1" t="s">
        <v>22</v>
      </c>
      <c r="C377">
        <v>27218.823020366199</v>
      </c>
      <c r="D377">
        <v>0</v>
      </c>
      <c r="E377" s="2">
        <v>45165</v>
      </c>
      <c r="F377" s="1">
        <v>140</v>
      </c>
      <c r="G377" s="1">
        <v>49</v>
      </c>
      <c r="H377" s="1" t="s">
        <v>15</v>
      </c>
      <c r="I377" s="1" t="s">
        <v>33</v>
      </c>
      <c r="J377" s="1" t="s">
        <v>34</v>
      </c>
      <c r="K377" s="1" t="s">
        <v>25</v>
      </c>
      <c r="L377" s="5" t="s">
        <v>54</v>
      </c>
      <c r="M377" s="1" t="s">
        <v>41</v>
      </c>
      <c r="N377" s="1" t="str">
        <f>YEAR(sales_data[[#This Row],[Date]]) &amp; "-" &amp; TEXT(MONTH(sales_data[[#This Row],[Date]]), "00")</f>
        <v>2023-08</v>
      </c>
      <c r="O377" s="1">
        <f xml:space="preserve"> (sales_data[[#This Row],[Sales]]* (100 - sales_data[[#This Row],[Discount]]))/100</f>
        <v>27218.823020366199</v>
      </c>
    </row>
    <row r="378" spans="1:15" x14ac:dyDescent="0.5">
      <c r="A378" s="1" t="s">
        <v>518</v>
      </c>
      <c r="B378" s="1" t="s">
        <v>22</v>
      </c>
      <c r="C378">
        <v>23164.659088777498</v>
      </c>
      <c r="D378">
        <v>5</v>
      </c>
      <c r="E378" s="2">
        <v>45166</v>
      </c>
      <c r="F378" s="1">
        <v>121</v>
      </c>
      <c r="G378" s="1">
        <v>15</v>
      </c>
      <c r="H378" s="1" t="s">
        <v>15</v>
      </c>
      <c r="I378" s="1" t="s">
        <v>23</v>
      </c>
      <c r="J378" s="1" t="s">
        <v>34</v>
      </c>
      <c r="K378" s="1" t="s">
        <v>25</v>
      </c>
      <c r="L378" s="5" t="s">
        <v>46</v>
      </c>
      <c r="M378" s="1" t="s">
        <v>41</v>
      </c>
      <c r="N378" s="1" t="str">
        <f>YEAR(sales_data[[#This Row],[Date]]) &amp; "-" &amp; TEXT(MONTH(sales_data[[#This Row],[Date]]), "00")</f>
        <v>2023-08</v>
      </c>
      <c r="O378" s="1">
        <f xml:space="preserve"> (sales_data[[#This Row],[Sales]]* (100 - sales_data[[#This Row],[Discount]]))/100</f>
        <v>22006.426134338621</v>
      </c>
    </row>
    <row r="379" spans="1:15" x14ac:dyDescent="0.5">
      <c r="A379" s="1" t="s">
        <v>669</v>
      </c>
      <c r="B379" s="1" t="s">
        <v>29</v>
      </c>
      <c r="C379">
        <v>26586.970328171599</v>
      </c>
      <c r="D379">
        <v>15</v>
      </c>
      <c r="E379" s="2">
        <v>45166</v>
      </c>
      <c r="F379" s="1">
        <v>123</v>
      </c>
      <c r="G379" s="1">
        <v>9</v>
      </c>
      <c r="H379" s="1" t="s">
        <v>15</v>
      </c>
      <c r="I379" s="1" t="s">
        <v>23</v>
      </c>
      <c r="J379" s="1" t="s">
        <v>24</v>
      </c>
      <c r="K379" s="1" t="s">
        <v>35</v>
      </c>
      <c r="L379" s="5" t="s">
        <v>38</v>
      </c>
      <c r="M379" s="1" t="s">
        <v>20</v>
      </c>
      <c r="N379" s="1" t="str">
        <f>YEAR(sales_data[[#This Row],[Date]]) &amp; "-" &amp; TEXT(MONTH(sales_data[[#This Row],[Date]]), "00")</f>
        <v>2023-08</v>
      </c>
      <c r="O379" s="1">
        <f xml:space="preserve"> (sales_data[[#This Row],[Sales]]* (100 - sales_data[[#This Row],[Discount]]))/100</f>
        <v>22598.92477894586</v>
      </c>
    </row>
    <row r="380" spans="1:15" x14ac:dyDescent="0.5">
      <c r="A380" s="1" t="s">
        <v>724</v>
      </c>
      <c r="B380" s="1" t="s">
        <v>50</v>
      </c>
      <c r="C380">
        <v>14401.6505268692</v>
      </c>
      <c r="D380">
        <v>10</v>
      </c>
      <c r="E380" s="2">
        <v>45166</v>
      </c>
      <c r="F380" s="1">
        <v>150</v>
      </c>
      <c r="G380" s="1">
        <v>1</v>
      </c>
      <c r="H380" s="1" t="s">
        <v>15</v>
      </c>
      <c r="I380" s="1" t="s">
        <v>16</v>
      </c>
      <c r="J380" s="1" t="s">
        <v>17</v>
      </c>
      <c r="K380" s="1" t="s">
        <v>18</v>
      </c>
      <c r="L380" s="5" t="s">
        <v>43</v>
      </c>
      <c r="M380" s="1" t="s">
        <v>31</v>
      </c>
      <c r="N380" s="1" t="str">
        <f>YEAR(sales_data[[#This Row],[Date]]) &amp; "-" &amp; TEXT(MONTH(sales_data[[#This Row],[Date]]), "00")</f>
        <v>2023-08</v>
      </c>
      <c r="O380" s="1">
        <f xml:space="preserve"> (sales_data[[#This Row],[Sales]]* (100 - sales_data[[#This Row],[Discount]]))/100</f>
        <v>12961.485474182278</v>
      </c>
    </row>
    <row r="381" spans="1:15" x14ac:dyDescent="0.5">
      <c r="A381" s="1" t="s">
        <v>226</v>
      </c>
      <c r="B381" s="1" t="s">
        <v>14</v>
      </c>
      <c r="C381">
        <v>14959.5684454129</v>
      </c>
      <c r="D381">
        <v>5</v>
      </c>
      <c r="E381" s="2">
        <v>45167</v>
      </c>
      <c r="F381" s="1">
        <v>191</v>
      </c>
      <c r="G381" s="1">
        <v>69</v>
      </c>
      <c r="H381" s="1" t="s">
        <v>15</v>
      </c>
      <c r="I381" s="1" t="s">
        <v>23</v>
      </c>
      <c r="J381" s="1" t="s">
        <v>24</v>
      </c>
      <c r="K381" s="1" t="s">
        <v>35</v>
      </c>
      <c r="L381" s="5" t="s">
        <v>19</v>
      </c>
      <c r="M381" s="1" t="s">
        <v>27</v>
      </c>
      <c r="N381" s="1" t="str">
        <f>YEAR(sales_data[[#This Row],[Date]]) &amp; "-" &amp; TEXT(MONTH(sales_data[[#This Row],[Date]]), "00")</f>
        <v>2023-08</v>
      </c>
      <c r="O381" s="1">
        <f xml:space="preserve"> (sales_data[[#This Row],[Sales]]* (100 - sales_data[[#This Row],[Discount]]))/100</f>
        <v>14211.590023142255</v>
      </c>
    </row>
    <row r="382" spans="1:15" x14ac:dyDescent="0.5">
      <c r="A382" s="1" t="s">
        <v>285</v>
      </c>
      <c r="B382" s="1" t="s">
        <v>50</v>
      </c>
      <c r="C382">
        <v>15051.975898707</v>
      </c>
      <c r="D382">
        <v>10</v>
      </c>
      <c r="E382" s="2">
        <v>45167</v>
      </c>
      <c r="F382" s="1">
        <v>133</v>
      </c>
      <c r="G382" s="1">
        <v>10</v>
      </c>
      <c r="H382" s="1" t="s">
        <v>15</v>
      </c>
      <c r="I382" s="1" t="s">
        <v>33</v>
      </c>
      <c r="J382" s="1" t="s">
        <v>34</v>
      </c>
      <c r="K382" s="1" t="s">
        <v>25</v>
      </c>
      <c r="L382" s="5" t="s">
        <v>85</v>
      </c>
      <c r="M382" s="1" t="s">
        <v>44</v>
      </c>
      <c r="N382" s="1" t="str">
        <f>YEAR(sales_data[[#This Row],[Date]]) &amp; "-" &amp; TEXT(MONTH(sales_data[[#This Row],[Date]]), "00")</f>
        <v>2023-08</v>
      </c>
      <c r="O382" s="1">
        <f xml:space="preserve"> (sales_data[[#This Row],[Sales]]* (100 - sales_data[[#This Row],[Discount]]))/100</f>
        <v>13546.778308836301</v>
      </c>
    </row>
    <row r="383" spans="1:15" x14ac:dyDescent="0.5">
      <c r="A383" s="1" t="s">
        <v>514</v>
      </c>
      <c r="B383" s="1" t="s">
        <v>22</v>
      </c>
      <c r="C383">
        <v>17146.268531252601</v>
      </c>
      <c r="D383">
        <v>0</v>
      </c>
      <c r="E383" s="2">
        <v>45167</v>
      </c>
      <c r="F383" s="1">
        <v>127</v>
      </c>
      <c r="G383" s="1">
        <v>78</v>
      </c>
      <c r="H383" s="1" t="s">
        <v>38</v>
      </c>
      <c r="I383" s="1" t="s">
        <v>16</v>
      </c>
      <c r="J383" s="1" t="s">
        <v>34</v>
      </c>
      <c r="K383" s="1" t="s">
        <v>35</v>
      </c>
      <c r="L383" s="5" t="s">
        <v>19</v>
      </c>
      <c r="M383" s="1" t="s">
        <v>55</v>
      </c>
      <c r="N383" s="1" t="str">
        <f>YEAR(sales_data[[#This Row],[Date]]) &amp; "-" &amp; TEXT(MONTH(sales_data[[#This Row],[Date]]), "00")</f>
        <v>2023-08</v>
      </c>
      <c r="O383" s="1">
        <f xml:space="preserve"> (sales_data[[#This Row],[Sales]]* (100 - sales_data[[#This Row],[Discount]]))/100</f>
        <v>17146.268531252601</v>
      </c>
    </row>
    <row r="384" spans="1:15" x14ac:dyDescent="0.5">
      <c r="A384" s="1" t="s">
        <v>765</v>
      </c>
      <c r="B384" s="1" t="s">
        <v>50</v>
      </c>
      <c r="C384">
        <v>23063.869525312799</v>
      </c>
      <c r="D384">
        <v>0</v>
      </c>
      <c r="E384" s="2">
        <v>45167</v>
      </c>
      <c r="F384" s="1">
        <v>156</v>
      </c>
      <c r="G384" s="1">
        <v>56</v>
      </c>
      <c r="H384" s="1" t="s">
        <v>15</v>
      </c>
      <c r="I384" s="1" t="s">
        <v>23</v>
      </c>
      <c r="J384" s="1" t="s">
        <v>24</v>
      </c>
      <c r="K384" s="1" t="s">
        <v>25</v>
      </c>
      <c r="L384" s="5" t="s">
        <v>30</v>
      </c>
      <c r="M384" s="1" t="s">
        <v>20</v>
      </c>
      <c r="N384" s="1" t="str">
        <f>YEAR(sales_data[[#This Row],[Date]]) &amp; "-" &amp; TEXT(MONTH(sales_data[[#This Row],[Date]]), "00")</f>
        <v>2023-08</v>
      </c>
      <c r="O384" s="1">
        <f xml:space="preserve"> (sales_data[[#This Row],[Sales]]* (100 - sales_data[[#This Row],[Discount]]))/100</f>
        <v>23063.869525312799</v>
      </c>
    </row>
    <row r="385" spans="1:15" x14ac:dyDescent="0.5">
      <c r="A385" s="1" t="s">
        <v>577</v>
      </c>
      <c r="B385" s="1" t="s">
        <v>29</v>
      </c>
      <c r="C385">
        <v>17767.831927247302</v>
      </c>
      <c r="D385">
        <v>5</v>
      </c>
      <c r="E385" s="2">
        <v>45168</v>
      </c>
      <c r="F385" s="1">
        <v>116</v>
      </c>
      <c r="G385" s="1">
        <v>65</v>
      </c>
      <c r="H385" s="1" t="s">
        <v>15</v>
      </c>
      <c r="I385" s="1" t="s">
        <v>16</v>
      </c>
      <c r="J385" s="1" t="s">
        <v>34</v>
      </c>
      <c r="K385" s="1" t="s">
        <v>35</v>
      </c>
      <c r="L385" s="5" t="s">
        <v>46</v>
      </c>
      <c r="M385" s="1" t="s">
        <v>44</v>
      </c>
      <c r="N385" s="1" t="str">
        <f>YEAR(sales_data[[#This Row],[Date]]) &amp; "-" &amp; TEXT(MONTH(sales_data[[#This Row],[Date]]), "00")</f>
        <v>2023-08</v>
      </c>
      <c r="O385" s="1">
        <f xml:space="preserve"> (sales_data[[#This Row],[Sales]]* (100 - sales_data[[#This Row],[Discount]]))/100</f>
        <v>16879.440330884936</v>
      </c>
    </row>
    <row r="386" spans="1:15" x14ac:dyDescent="0.5">
      <c r="A386" s="1" t="s">
        <v>560</v>
      </c>
      <c r="B386" s="1" t="s">
        <v>14</v>
      </c>
      <c r="C386">
        <v>18033.305938363101</v>
      </c>
      <c r="D386">
        <v>5</v>
      </c>
      <c r="E386" s="2">
        <v>45169</v>
      </c>
      <c r="F386" s="1">
        <v>108</v>
      </c>
      <c r="G386" s="1">
        <v>53</v>
      </c>
      <c r="H386" s="1" t="s">
        <v>15</v>
      </c>
      <c r="I386" s="1" t="s">
        <v>23</v>
      </c>
      <c r="J386" s="1" t="s">
        <v>34</v>
      </c>
      <c r="K386" s="1" t="s">
        <v>25</v>
      </c>
      <c r="L386" s="5" t="s">
        <v>43</v>
      </c>
      <c r="M386" s="1" t="s">
        <v>20</v>
      </c>
      <c r="N386" s="1" t="str">
        <f>YEAR(sales_data[[#This Row],[Date]]) &amp; "-" &amp; TEXT(MONTH(sales_data[[#This Row],[Date]]), "00")</f>
        <v>2023-08</v>
      </c>
      <c r="O386" s="1">
        <f xml:space="preserve"> (sales_data[[#This Row],[Sales]]* (100 - sales_data[[#This Row],[Discount]]))/100</f>
        <v>17131.640641444945</v>
      </c>
    </row>
    <row r="387" spans="1:15" x14ac:dyDescent="0.5">
      <c r="A387" s="1" t="s">
        <v>214</v>
      </c>
      <c r="B387" s="1" t="s">
        <v>50</v>
      </c>
      <c r="C387">
        <v>17940.615169387602</v>
      </c>
      <c r="D387">
        <v>10</v>
      </c>
      <c r="E387" s="2">
        <v>45170</v>
      </c>
      <c r="F387" s="1">
        <v>167</v>
      </c>
      <c r="G387" s="1">
        <v>90</v>
      </c>
      <c r="H387" s="1" t="s">
        <v>15</v>
      </c>
      <c r="I387" s="1" t="s">
        <v>33</v>
      </c>
      <c r="J387" s="1" t="s">
        <v>34</v>
      </c>
      <c r="K387" s="1" t="s">
        <v>18</v>
      </c>
      <c r="L387" s="5" t="s">
        <v>46</v>
      </c>
      <c r="M387" s="1" t="s">
        <v>48</v>
      </c>
      <c r="N387" s="1" t="str">
        <f>YEAR(sales_data[[#This Row],[Date]]) &amp; "-" &amp; TEXT(MONTH(sales_data[[#This Row],[Date]]), "00")</f>
        <v>2023-09</v>
      </c>
      <c r="O387" s="1">
        <f xml:space="preserve"> (sales_data[[#This Row],[Sales]]* (100 - sales_data[[#This Row],[Discount]]))/100</f>
        <v>16146.55365244884</v>
      </c>
    </row>
    <row r="388" spans="1:15" x14ac:dyDescent="0.5">
      <c r="A388" s="1" t="s">
        <v>431</v>
      </c>
      <c r="B388" s="1" t="s">
        <v>14</v>
      </c>
      <c r="C388">
        <v>23162.038695277599</v>
      </c>
      <c r="D388">
        <v>5</v>
      </c>
      <c r="E388" s="2">
        <v>45170</v>
      </c>
      <c r="F388" s="1">
        <v>112</v>
      </c>
      <c r="G388" s="1">
        <v>92</v>
      </c>
      <c r="H388" s="1" t="s">
        <v>15</v>
      </c>
      <c r="I388" s="1" t="s">
        <v>16</v>
      </c>
      <c r="J388" s="1" t="s">
        <v>17</v>
      </c>
      <c r="K388" s="1" t="s">
        <v>35</v>
      </c>
      <c r="L388" s="5" t="s">
        <v>54</v>
      </c>
      <c r="M388" s="1" t="s">
        <v>31</v>
      </c>
      <c r="N388" s="1" t="str">
        <f>YEAR(sales_data[[#This Row],[Date]]) &amp; "-" &amp; TEXT(MONTH(sales_data[[#This Row],[Date]]), "00")</f>
        <v>2023-09</v>
      </c>
      <c r="O388" s="1">
        <f xml:space="preserve"> (sales_data[[#This Row],[Sales]]* (100 - sales_data[[#This Row],[Discount]]))/100</f>
        <v>22003.936760513716</v>
      </c>
    </row>
    <row r="389" spans="1:15" x14ac:dyDescent="0.5">
      <c r="A389" s="1" t="s">
        <v>810</v>
      </c>
      <c r="B389" s="1" t="s">
        <v>14</v>
      </c>
      <c r="C389">
        <v>9233.0494319814206</v>
      </c>
      <c r="D389">
        <v>10</v>
      </c>
      <c r="E389" s="2">
        <v>45170</v>
      </c>
      <c r="F389" s="1">
        <v>185</v>
      </c>
      <c r="G389" s="1">
        <v>96</v>
      </c>
      <c r="H389" s="1" t="s">
        <v>15</v>
      </c>
      <c r="I389" s="1" t="s">
        <v>33</v>
      </c>
      <c r="J389" s="1" t="s">
        <v>24</v>
      </c>
      <c r="K389" s="1" t="s">
        <v>25</v>
      </c>
      <c r="L389" s="5" t="s">
        <v>19</v>
      </c>
      <c r="M389" s="1" t="s">
        <v>44</v>
      </c>
      <c r="N389" s="1" t="str">
        <f>YEAR(sales_data[[#This Row],[Date]]) &amp; "-" &amp; TEXT(MONTH(sales_data[[#This Row],[Date]]), "00")</f>
        <v>2023-09</v>
      </c>
      <c r="O389" s="1">
        <f xml:space="preserve"> (sales_data[[#This Row],[Sales]]* (100 - sales_data[[#This Row],[Discount]]))/100</f>
        <v>8309.7444887832789</v>
      </c>
    </row>
    <row r="390" spans="1:15" x14ac:dyDescent="0.5">
      <c r="A390" s="1" t="s">
        <v>1033</v>
      </c>
      <c r="B390" s="1" t="s">
        <v>50</v>
      </c>
      <c r="C390">
        <v>27355.851637468</v>
      </c>
      <c r="D390">
        <v>5</v>
      </c>
      <c r="E390" s="2">
        <v>45170</v>
      </c>
      <c r="F390" s="1">
        <v>157</v>
      </c>
      <c r="G390" s="1">
        <v>95</v>
      </c>
      <c r="H390" s="1" t="s">
        <v>15</v>
      </c>
      <c r="I390" s="1" t="s">
        <v>23</v>
      </c>
      <c r="J390" s="1" t="s">
        <v>34</v>
      </c>
      <c r="K390" s="1" t="s">
        <v>35</v>
      </c>
      <c r="L390" s="5" t="s">
        <v>26</v>
      </c>
      <c r="M390" s="1" t="s">
        <v>55</v>
      </c>
      <c r="N390" s="1" t="str">
        <f>YEAR(sales_data[[#This Row],[Date]]) &amp; "-" &amp; TEXT(MONTH(sales_data[[#This Row],[Date]]), "00")</f>
        <v>2023-09</v>
      </c>
      <c r="O390" s="1">
        <f xml:space="preserve"> (sales_data[[#This Row],[Sales]]* (100 - sales_data[[#This Row],[Discount]]))/100</f>
        <v>25988.0590555946</v>
      </c>
    </row>
    <row r="391" spans="1:15" x14ac:dyDescent="0.5">
      <c r="A391" s="1" t="s">
        <v>319</v>
      </c>
      <c r="B391" s="1" t="s">
        <v>29</v>
      </c>
      <c r="C391">
        <v>17131.689965598802</v>
      </c>
      <c r="D391">
        <v>0</v>
      </c>
      <c r="E391" s="2">
        <v>45172</v>
      </c>
      <c r="F391" s="1">
        <v>107</v>
      </c>
      <c r="G391" s="1">
        <v>54</v>
      </c>
      <c r="H391" s="1" t="s">
        <v>15</v>
      </c>
      <c r="I391" s="1" t="s">
        <v>23</v>
      </c>
      <c r="J391" s="1" t="s">
        <v>34</v>
      </c>
      <c r="K391" s="1" t="s">
        <v>25</v>
      </c>
      <c r="L391" s="5" t="s">
        <v>54</v>
      </c>
      <c r="M391" s="1" t="s">
        <v>55</v>
      </c>
      <c r="N391" s="1" t="str">
        <f>YEAR(sales_data[[#This Row],[Date]]) &amp; "-" &amp; TEXT(MONTH(sales_data[[#This Row],[Date]]), "00")</f>
        <v>2023-09</v>
      </c>
      <c r="O391" s="1">
        <f xml:space="preserve"> (sales_data[[#This Row],[Sales]]* (100 - sales_data[[#This Row],[Discount]]))/100</f>
        <v>17131.689965598802</v>
      </c>
    </row>
    <row r="392" spans="1:15" x14ac:dyDescent="0.5">
      <c r="A392" s="1" t="s">
        <v>696</v>
      </c>
      <c r="B392" s="1" t="s">
        <v>22</v>
      </c>
      <c r="C392">
        <v>12678.125598950801</v>
      </c>
      <c r="D392">
        <v>15</v>
      </c>
      <c r="E392" s="2">
        <v>45172</v>
      </c>
      <c r="F392" s="1">
        <v>157</v>
      </c>
      <c r="G392" s="1">
        <v>40</v>
      </c>
      <c r="H392" s="1" t="s">
        <v>15</v>
      </c>
      <c r="I392" s="1" t="s">
        <v>23</v>
      </c>
      <c r="J392" s="1" t="s">
        <v>24</v>
      </c>
      <c r="K392" s="1" t="s">
        <v>18</v>
      </c>
      <c r="L392" s="5" t="s">
        <v>58</v>
      </c>
      <c r="M392" s="1" t="s">
        <v>55</v>
      </c>
      <c r="N392" s="1" t="str">
        <f>YEAR(sales_data[[#This Row],[Date]]) &amp; "-" &amp; TEXT(MONTH(sales_data[[#This Row],[Date]]), "00")</f>
        <v>2023-09</v>
      </c>
      <c r="O392" s="1">
        <f xml:space="preserve"> (sales_data[[#This Row],[Sales]]* (100 - sales_data[[#This Row],[Discount]]))/100</f>
        <v>10776.406759108182</v>
      </c>
    </row>
    <row r="393" spans="1:15" x14ac:dyDescent="0.5">
      <c r="A393" s="1" t="s">
        <v>792</v>
      </c>
      <c r="B393" s="1" t="s">
        <v>14</v>
      </c>
      <c r="C393">
        <v>22267.671507569899</v>
      </c>
      <c r="D393">
        <v>15</v>
      </c>
      <c r="E393" s="2">
        <v>45173</v>
      </c>
      <c r="F393" s="1">
        <v>183</v>
      </c>
      <c r="G393" s="1">
        <v>15</v>
      </c>
      <c r="H393" s="1" t="s">
        <v>38</v>
      </c>
      <c r="I393" s="1" t="s">
        <v>33</v>
      </c>
      <c r="J393" s="1" t="s">
        <v>17</v>
      </c>
      <c r="K393" s="1" t="s">
        <v>35</v>
      </c>
      <c r="L393" s="5" t="s">
        <v>38</v>
      </c>
      <c r="M393" s="1" t="s">
        <v>31</v>
      </c>
      <c r="N393" s="1" t="str">
        <f>YEAR(sales_data[[#This Row],[Date]]) &amp; "-" &amp; TEXT(MONTH(sales_data[[#This Row],[Date]]), "00")</f>
        <v>2023-09</v>
      </c>
      <c r="O393" s="1">
        <f xml:space="preserve"> (sales_data[[#This Row],[Sales]]* (100 - sales_data[[#This Row],[Discount]]))/100</f>
        <v>18927.520781434414</v>
      </c>
    </row>
    <row r="394" spans="1:15" x14ac:dyDescent="0.5">
      <c r="A394" s="1" t="s">
        <v>186</v>
      </c>
      <c r="B394" s="1" t="s">
        <v>29</v>
      </c>
      <c r="C394">
        <v>20240.4247333069</v>
      </c>
      <c r="D394">
        <v>10</v>
      </c>
      <c r="E394" s="2">
        <v>45174</v>
      </c>
      <c r="F394" s="1">
        <v>144</v>
      </c>
      <c r="G394" s="1">
        <v>19</v>
      </c>
      <c r="H394" s="1" t="s">
        <v>15</v>
      </c>
      <c r="I394" s="1" t="s">
        <v>23</v>
      </c>
      <c r="J394" s="1" t="s">
        <v>17</v>
      </c>
      <c r="K394" s="1" t="s">
        <v>25</v>
      </c>
      <c r="L394" s="5" t="s">
        <v>85</v>
      </c>
      <c r="M394" s="1" t="s">
        <v>31</v>
      </c>
      <c r="N394" s="1" t="str">
        <f>YEAR(sales_data[[#This Row],[Date]]) &amp; "-" &amp; TEXT(MONTH(sales_data[[#This Row],[Date]]), "00")</f>
        <v>2023-09</v>
      </c>
      <c r="O394" s="1">
        <f xml:space="preserve"> (sales_data[[#This Row],[Sales]]* (100 - sales_data[[#This Row],[Discount]]))/100</f>
        <v>18216.38225997621</v>
      </c>
    </row>
    <row r="395" spans="1:15" x14ac:dyDescent="0.5">
      <c r="A395" s="1" t="s">
        <v>277</v>
      </c>
      <c r="B395" s="1" t="s">
        <v>22</v>
      </c>
      <c r="C395">
        <v>22405.046158683501</v>
      </c>
      <c r="D395">
        <v>10</v>
      </c>
      <c r="E395" s="2">
        <v>45174</v>
      </c>
      <c r="F395" s="1">
        <v>116</v>
      </c>
      <c r="G395" s="1">
        <v>59</v>
      </c>
      <c r="H395" s="1" t="s">
        <v>15</v>
      </c>
      <c r="I395" s="1" t="s">
        <v>23</v>
      </c>
      <c r="J395" s="1" t="s">
        <v>34</v>
      </c>
      <c r="K395" s="1" t="s">
        <v>25</v>
      </c>
      <c r="L395" s="5" t="s">
        <v>43</v>
      </c>
      <c r="M395" s="1" t="s">
        <v>48</v>
      </c>
      <c r="N395" s="1" t="str">
        <f>YEAR(sales_data[[#This Row],[Date]]) &amp; "-" &amp; TEXT(MONTH(sales_data[[#This Row],[Date]]), "00")</f>
        <v>2023-09</v>
      </c>
      <c r="O395" s="1">
        <f xml:space="preserve"> (sales_data[[#This Row],[Sales]]* (100 - sales_data[[#This Row],[Discount]]))/100</f>
        <v>20164.54154281515</v>
      </c>
    </row>
    <row r="396" spans="1:15" x14ac:dyDescent="0.5">
      <c r="A396" s="1" t="s">
        <v>415</v>
      </c>
      <c r="B396" s="1" t="s">
        <v>22</v>
      </c>
      <c r="C396">
        <v>22466.589504404401</v>
      </c>
      <c r="D396">
        <v>10</v>
      </c>
      <c r="E396" s="2">
        <v>45174</v>
      </c>
      <c r="F396" s="1">
        <v>146</v>
      </c>
      <c r="G396" s="1">
        <v>54</v>
      </c>
      <c r="H396" s="1" t="s">
        <v>15</v>
      </c>
      <c r="I396" s="1" t="s">
        <v>23</v>
      </c>
      <c r="J396" s="1" t="s">
        <v>24</v>
      </c>
      <c r="K396" s="1" t="s">
        <v>25</v>
      </c>
      <c r="L396" s="5" t="s">
        <v>38</v>
      </c>
      <c r="M396" s="1" t="s">
        <v>48</v>
      </c>
      <c r="N396" s="1" t="str">
        <f>YEAR(sales_data[[#This Row],[Date]]) &amp; "-" &amp; TEXT(MONTH(sales_data[[#This Row],[Date]]), "00")</f>
        <v>2023-09</v>
      </c>
      <c r="O396" s="1">
        <f xml:space="preserve"> (sales_data[[#This Row],[Sales]]* (100 - sales_data[[#This Row],[Discount]]))/100</f>
        <v>20219.930553963961</v>
      </c>
    </row>
    <row r="397" spans="1:15" x14ac:dyDescent="0.5">
      <c r="A397" s="1" t="s">
        <v>532</v>
      </c>
      <c r="B397" s="1" t="s">
        <v>22</v>
      </c>
      <c r="C397">
        <v>16345.3498002904</v>
      </c>
      <c r="D397">
        <v>15</v>
      </c>
      <c r="E397" s="2">
        <v>45174</v>
      </c>
      <c r="F397" s="1">
        <v>197</v>
      </c>
      <c r="G397" s="1">
        <v>65</v>
      </c>
      <c r="H397" s="1" t="s">
        <v>15</v>
      </c>
      <c r="I397" s="1" t="s">
        <v>23</v>
      </c>
      <c r="J397" s="1" t="s">
        <v>24</v>
      </c>
      <c r="K397" s="1" t="s">
        <v>35</v>
      </c>
      <c r="L397" s="5" t="s">
        <v>54</v>
      </c>
      <c r="M397" s="1" t="s">
        <v>44</v>
      </c>
      <c r="N397" s="1" t="str">
        <f>YEAR(sales_data[[#This Row],[Date]]) &amp; "-" &amp; TEXT(MONTH(sales_data[[#This Row],[Date]]), "00")</f>
        <v>2023-09</v>
      </c>
      <c r="O397" s="1">
        <f xml:space="preserve"> (sales_data[[#This Row],[Sales]]* (100 - sales_data[[#This Row],[Discount]]))/100</f>
        <v>13893.54733024684</v>
      </c>
    </row>
    <row r="398" spans="1:15" x14ac:dyDescent="0.5">
      <c r="A398" s="1" t="s">
        <v>623</v>
      </c>
      <c r="B398" s="1" t="s">
        <v>50</v>
      </c>
      <c r="C398">
        <v>19551.3215285638</v>
      </c>
      <c r="D398">
        <v>0</v>
      </c>
      <c r="E398" s="2">
        <v>45176</v>
      </c>
      <c r="F398" s="1">
        <v>130</v>
      </c>
      <c r="G398" s="1">
        <v>67</v>
      </c>
      <c r="H398" s="1" t="s">
        <v>15</v>
      </c>
      <c r="I398" s="1" t="s">
        <v>16</v>
      </c>
      <c r="J398" s="1" t="s">
        <v>17</v>
      </c>
      <c r="K398" s="1" t="s">
        <v>35</v>
      </c>
      <c r="L398" s="5" t="s">
        <v>43</v>
      </c>
      <c r="M398" s="1" t="s">
        <v>20</v>
      </c>
      <c r="N398" s="1" t="str">
        <f>YEAR(sales_data[[#This Row],[Date]]) &amp; "-" &amp; TEXT(MONTH(sales_data[[#This Row],[Date]]), "00")</f>
        <v>2023-09</v>
      </c>
      <c r="O398" s="1">
        <f xml:space="preserve"> (sales_data[[#This Row],[Sales]]* (100 - sales_data[[#This Row],[Discount]]))/100</f>
        <v>19551.3215285638</v>
      </c>
    </row>
    <row r="399" spans="1:15" x14ac:dyDescent="0.5">
      <c r="A399" s="1" t="s">
        <v>720</v>
      </c>
      <c r="B399" s="1" t="s">
        <v>40</v>
      </c>
      <c r="C399">
        <v>5757.2868968496196</v>
      </c>
      <c r="D399">
        <v>5</v>
      </c>
      <c r="E399" s="2">
        <v>45176</v>
      </c>
      <c r="F399" s="1">
        <v>199</v>
      </c>
      <c r="G399" s="1">
        <v>38</v>
      </c>
      <c r="H399" s="1" t="s">
        <v>15</v>
      </c>
      <c r="I399" s="1" t="s">
        <v>23</v>
      </c>
      <c r="J399" s="1" t="s">
        <v>24</v>
      </c>
      <c r="K399" s="1" t="s">
        <v>25</v>
      </c>
      <c r="L399" s="5" t="s">
        <v>46</v>
      </c>
      <c r="M399" s="1" t="s">
        <v>44</v>
      </c>
      <c r="N399" s="1" t="str">
        <f>YEAR(sales_data[[#This Row],[Date]]) &amp; "-" &amp; TEXT(MONTH(sales_data[[#This Row],[Date]]), "00")</f>
        <v>2023-09</v>
      </c>
      <c r="O399" s="1">
        <f xml:space="preserve"> (sales_data[[#This Row],[Sales]]* (100 - sales_data[[#This Row],[Discount]]))/100</f>
        <v>5469.4225520071386</v>
      </c>
    </row>
    <row r="400" spans="1:15" x14ac:dyDescent="0.5">
      <c r="A400" s="1" t="s">
        <v>838</v>
      </c>
      <c r="B400" s="1" t="s">
        <v>22</v>
      </c>
      <c r="C400">
        <v>14482.053413921099</v>
      </c>
      <c r="D400">
        <v>5</v>
      </c>
      <c r="E400" s="2">
        <v>45177</v>
      </c>
      <c r="F400" s="1">
        <v>147</v>
      </c>
      <c r="G400" s="1">
        <v>11</v>
      </c>
      <c r="H400" s="1" t="s">
        <v>15</v>
      </c>
      <c r="I400" s="1" t="s">
        <v>16</v>
      </c>
      <c r="J400" s="1" t="s">
        <v>34</v>
      </c>
      <c r="K400" s="1" t="s">
        <v>35</v>
      </c>
      <c r="L400" s="5" t="s">
        <v>26</v>
      </c>
      <c r="M400" s="1" t="s">
        <v>48</v>
      </c>
      <c r="N400" s="1" t="str">
        <f>YEAR(sales_data[[#This Row],[Date]]) &amp; "-" &amp; TEXT(MONTH(sales_data[[#This Row],[Date]]), "00")</f>
        <v>2023-09</v>
      </c>
      <c r="O400" s="1">
        <f xml:space="preserve"> (sales_data[[#This Row],[Sales]]* (100 - sales_data[[#This Row],[Discount]]))/100</f>
        <v>13757.950743225045</v>
      </c>
    </row>
    <row r="401" spans="1:15" x14ac:dyDescent="0.5">
      <c r="A401" s="1" t="s">
        <v>877</v>
      </c>
      <c r="B401" s="1" t="s">
        <v>14</v>
      </c>
      <c r="C401">
        <v>15823.2647337012</v>
      </c>
      <c r="D401">
        <v>0</v>
      </c>
      <c r="E401" s="2">
        <v>45177</v>
      </c>
      <c r="F401" s="1">
        <v>185</v>
      </c>
      <c r="G401" s="1">
        <v>83</v>
      </c>
      <c r="H401" s="1" t="s">
        <v>15</v>
      </c>
      <c r="I401" s="1" t="s">
        <v>16</v>
      </c>
      <c r="J401" s="1" t="s">
        <v>34</v>
      </c>
      <c r="K401" s="1" t="s">
        <v>18</v>
      </c>
      <c r="L401" s="5" t="s">
        <v>26</v>
      </c>
      <c r="M401" s="1" t="s">
        <v>27</v>
      </c>
      <c r="N401" s="1" t="str">
        <f>YEAR(sales_data[[#This Row],[Date]]) &amp; "-" &amp; TEXT(MONTH(sales_data[[#This Row],[Date]]), "00")</f>
        <v>2023-09</v>
      </c>
      <c r="O401" s="1">
        <f xml:space="preserve"> (sales_data[[#This Row],[Sales]]* (100 - sales_data[[#This Row],[Discount]]))/100</f>
        <v>15823.264733701199</v>
      </c>
    </row>
    <row r="402" spans="1:15" x14ac:dyDescent="0.5">
      <c r="A402" s="1" t="s">
        <v>725</v>
      </c>
      <c r="B402" s="1" t="s">
        <v>22</v>
      </c>
      <c r="C402">
        <v>13526.592621395401</v>
      </c>
      <c r="D402">
        <v>5</v>
      </c>
      <c r="E402" s="2">
        <v>45178</v>
      </c>
      <c r="F402" s="1">
        <v>172</v>
      </c>
      <c r="G402" s="1">
        <v>94</v>
      </c>
      <c r="H402" s="1" t="s">
        <v>15</v>
      </c>
      <c r="I402" s="1" t="s">
        <v>23</v>
      </c>
      <c r="J402" s="1" t="s">
        <v>17</v>
      </c>
      <c r="K402" s="1" t="s">
        <v>18</v>
      </c>
      <c r="L402" s="5" t="s">
        <v>30</v>
      </c>
      <c r="M402" s="1" t="s">
        <v>55</v>
      </c>
      <c r="N402" s="1" t="str">
        <f>YEAR(sales_data[[#This Row],[Date]]) &amp; "-" &amp; TEXT(MONTH(sales_data[[#This Row],[Date]]), "00")</f>
        <v>2023-09</v>
      </c>
      <c r="O402" s="1">
        <f xml:space="preserve"> (sales_data[[#This Row],[Sales]]* (100 - sales_data[[#This Row],[Discount]]))/100</f>
        <v>12850.262990325631</v>
      </c>
    </row>
    <row r="403" spans="1:15" x14ac:dyDescent="0.5">
      <c r="A403" s="1" t="s">
        <v>754</v>
      </c>
      <c r="B403" s="1" t="s">
        <v>22</v>
      </c>
      <c r="C403">
        <v>19596.417099457001</v>
      </c>
      <c r="D403">
        <v>10</v>
      </c>
      <c r="E403" s="2">
        <v>45178</v>
      </c>
      <c r="F403" s="1">
        <v>183</v>
      </c>
      <c r="G403" s="1">
        <v>21</v>
      </c>
      <c r="H403" s="1" t="s">
        <v>15</v>
      </c>
      <c r="I403" s="1" t="s">
        <v>16</v>
      </c>
      <c r="J403" s="1" t="s">
        <v>17</v>
      </c>
      <c r="K403" s="1" t="s">
        <v>25</v>
      </c>
      <c r="L403" s="5" t="s">
        <v>58</v>
      </c>
      <c r="M403" s="1" t="s">
        <v>55</v>
      </c>
      <c r="N403" s="1" t="str">
        <f>YEAR(sales_data[[#This Row],[Date]]) &amp; "-" &amp; TEXT(MONTH(sales_data[[#This Row],[Date]]), "00")</f>
        <v>2023-09</v>
      </c>
      <c r="O403" s="1">
        <f xml:space="preserve"> (sales_data[[#This Row],[Sales]]* (100 - sales_data[[#This Row],[Discount]]))/100</f>
        <v>17636.775389511302</v>
      </c>
    </row>
    <row r="404" spans="1:15" x14ac:dyDescent="0.5">
      <c r="A404" s="1" t="s">
        <v>680</v>
      </c>
      <c r="B404" s="1" t="s">
        <v>50</v>
      </c>
      <c r="C404">
        <v>17131.4999803071</v>
      </c>
      <c r="D404">
        <v>10</v>
      </c>
      <c r="E404" s="2">
        <v>45179</v>
      </c>
      <c r="F404" s="1">
        <v>111</v>
      </c>
      <c r="G404" s="1">
        <v>64</v>
      </c>
      <c r="H404" s="1" t="s">
        <v>15</v>
      </c>
      <c r="I404" s="1" t="s">
        <v>23</v>
      </c>
      <c r="J404" s="1" t="s">
        <v>17</v>
      </c>
      <c r="K404" s="1" t="s">
        <v>25</v>
      </c>
      <c r="L404" s="5" t="s">
        <v>30</v>
      </c>
      <c r="M404" s="1" t="s">
        <v>55</v>
      </c>
      <c r="N404" s="1" t="str">
        <f>YEAR(sales_data[[#This Row],[Date]]) &amp; "-" &amp; TEXT(MONTH(sales_data[[#This Row],[Date]]), "00")</f>
        <v>2023-09</v>
      </c>
      <c r="O404" s="1">
        <f xml:space="preserve"> (sales_data[[#This Row],[Sales]]* (100 - sales_data[[#This Row],[Discount]]))/100</f>
        <v>15418.349982276392</v>
      </c>
    </row>
    <row r="405" spans="1:15" x14ac:dyDescent="0.5">
      <c r="A405" s="1" t="s">
        <v>703</v>
      </c>
      <c r="B405" s="1" t="s">
        <v>22</v>
      </c>
      <c r="C405">
        <v>19136.863500295902</v>
      </c>
      <c r="D405">
        <v>15</v>
      </c>
      <c r="E405" s="2">
        <v>45179</v>
      </c>
      <c r="F405" s="1">
        <v>193</v>
      </c>
      <c r="G405" s="1">
        <v>44</v>
      </c>
      <c r="H405" s="1" t="s">
        <v>15</v>
      </c>
      <c r="I405" s="1" t="s">
        <v>16</v>
      </c>
      <c r="J405" s="1" t="s">
        <v>24</v>
      </c>
      <c r="K405" s="1" t="s">
        <v>35</v>
      </c>
      <c r="L405" s="5" t="s">
        <v>38</v>
      </c>
      <c r="M405" s="1" t="s">
        <v>31</v>
      </c>
      <c r="N405" s="1" t="str">
        <f>YEAR(sales_data[[#This Row],[Date]]) &amp; "-" &amp; TEXT(MONTH(sales_data[[#This Row],[Date]]), "00")</f>
        <v>2023-09</v>
      </c>
      <c r="O405" s="1">
        <f xml:space="preserve"> (sales_data[[#This Row],[Sales]]* (100 - sales_data[[#This Row],[Discount]]))/100</f>
        <v>16266.333975251517</v>
      </c>
    </row>
    <row r="406" spans="1:15" x14ac:dyDescent="0.5">
      <c r="A406" s="1" t="s">
        <v>1042</v>
      </c>
      <c r="B406" s="1" t="s">
        <v>22</v>
      </c>
      <c r="C406">
        <v>16971.4253849833</v>
      </c>
      <c r="D406">
        <v>15</v>
      </c>
      <c r="E406" s="2">
        <v>45179</v>
      </c>
      <c r="F406" s="1">
        <v>146</v>
      </c>
      <c r="G406" s="1">
        <v>89</v>
      </c>
      <c r="H406" s="1" t="s">
        <v>15</v>
      </c>
      <c r="I406" s="1" t="s">
        <v>33</v>
      </c>
      <c r="J406" s="1" t="s">
        <v>17</v>
      </c>
      <c r="K406" s="1" t="s">
        <v>18</v>
      </c>
      <c r="L406" s="5" t="s">
        <v>54</v>
      </c>
      <c r="M406" s="1" t="s">
        <v>48</v>
      </c>
      <c r="N406" s="1" t="str">
        <f>YEAR(sales_data[[#This Row],[Date]]) &amp; "-" &amp; TEXT(MONTH(sales_data[[#This Row],[Date]]), "00")</f>
        <v>2023-09</v>
      </c>
      <c r="O406" s="1">
        <f xml:space="preserve"> (sales_data[[#This Row],[Sales]]* (100 - sales_data[[#This Row],[Discount]]))/100</f>
        <v>14425.711577235805</v>
      </c>
    </row>
    <row r="407" spans="1:15" x14ac:dyDescent="0.5">
      <c r="A407" s="1" t="s">
        <v>867</v>
      </c>
      <c r="B407" s="1" t="s">
        <v>50</v>
      </c>
      <c r="C407">
        <v>12986.973641001499</v>
      </c>
      <c r="D407">
        <v>0</v>
      </c>
      <c r="E407" s="2">
        <v>45180</v>
      </c>
      <c r="F407" s="1">
        <v>195</v>
      </c>
      <c r="G407" s="1">
        <v>21</v>
      </c>
      <c r="H407" s="1" t="s">
        <v>15</v>
      </c>
      <c r="I407" s="1" t="s">
        <v>23</v>
      </c>
      <c r="J407" s="1" t="s">
        <v>17</v>
      </c>
      <c r="K407" s="1" t="s">
        <v>35</v>
      </c>
      <c r="L407" s="5" t="s">
        <v>58</v>
      </c>
      <c r="M407" s="1" t="s">
        <v>44</v>
      </c>
      <c r="N407" s="1" t="str">
        <f>YEAR(sales_data[[#This Row],[Date]]) &amp; "-" &amp; TEXT(MONTH(sales_data[[#This Row],[Date]]), "00")</f>
        <v>2023-09</v>
      </c>
      <c r="O407" s="1">
        <f xml:space="preserve"> (sales_data[[#This Row],[Sales]]* (100 - sales_data[[#This Row],[Discount]]))/100</f>
        <v>12986.973641001498</v>
      </c>
    </row>
    <row r="408" spans="1:15" x14ac:dyDescent="0.5">
      <c r="A408" s="1" t="s">
        <v>842</v>
      </c>
      <c r="B408" s="1" t="s">
        <v>14</v>
      </c>
      <c r="C408">
        <v>12147.4969818841</v>
      </c>
      <c r="D408">
        <v>0</v>
      </c>
      <c r="E408" s="2">
        <v>45181</v>
      </c>
      <c r="F408" s="1">
        <v>189</v>
      </c>
      <c r="G408" s="1">
        <v>69</v>
      </c>
      <c r="H408" s="1" t="s">
        <v>15</v>
      </c>
      <c r="I408" s="1" t="s">
        <v>16</v>
      </c>
      <c r="J408" s="1" t="s">
        <v>34</v>
      </c>
      <c r="K408" s="1" t="s">
        <v>25</v>
      </c>
      <c r="L408" s="5" t="s">
        <v>54</v>
      </c>
      <c r="M408" s="1" t="s">
        <v>55</v>
      </c>
      <c r="N408" s="1" t="str">
        <f>YEAR(sales_data[[#This Row],[Date]]) &amp; "-" &amp; TEXT(MONTH(sales_data[[#This Row],[Date]]), "00")</f>
        <v>2023-09</v>
      </c>
      <c r="O408" s="1">
        <f xml:space="preserve"> (sales_data[[#This Row],[Sales]]* (100 - sales_data[[#This Row],[Discount]]))/100</f>
        <v>12147.496981884098</v>
      </c>
    </row>
    <row r="409" spans="1:15" x14ac:dyDescent="0.5">
      <c r="A409" s="1" t="s">
        <v>982</v>
      </c>
      <c r="B409" s="1" t="s">
        <v>29</v>
      </c>
      <c r="C409">
        <v>22432.508219130999</v>
      </c>
      <c r="D409">
        <v>0</v>
      </c>
      <c r="E409" s="2">
        <v>45181</v>
      </c>
      <c r="F409" s="1">
        <v>136</v>
      </c>
      <c r="G409" s="1">
        <v>37</v>
      </c>
      <c r="H409" s="1" t="s">
        <v>15</v>
      </c>
      <c r="I409" s="1" t="s">
        <v>33</v>
      </c>
      <c r="J409" s="1" t="s">
        <v>24</v>
      </c>
      <c r="K409" s="1" t="s">
        <v>18</v>
      </c>
      <c r="L409" s="5" t="s">
        <v>38</v>
      </c>
      <c r="M409" s="1" t="s">
        <v>48</v>
      </c>
      <c r="N409" s="1" t="str">
        <f>YEAR(sales_data[[#This Row],[Date]]) &amp; "-" &amp; TEXT(MONTH(sales_data[[#This Row],[Date]]), "00")</f>
        <v>2023-09</v>
      </c>
      <c r="O409" s="1">
        <f xml:space="preserve"> (sales_data[[#This Row],[Sales]]* (100 - sales_data[[#This Row],[Discount]]))/100</f>
        <v>22432.508219130999</v>
      </c>
    </row>
    <row r="410" spans="1:15" x14ac:dyDescent="0.5">
      <c r="A410" s="1" t="s">
        <v>958</v>
      </c>
      <c r="B410" s="1" t="s">
        <v>50</v>
      </c>
      <c r="C410">
        <v>21608.489030979999</v>
      </c>
      <c r="D410">
        <v>15</v>
      </c>
      <c r="E410" s="2">
        <v>45183</v>
      </c>
      <c r="F410" s="1">
        <v>118</v>
      </c>
      <c r="G410" s="1">
        <v>53</v>
      </c>
      <c r="H410" s="1" t="s">
        <v>15</v>
      </c>
      <c r="I410" s="1" t="s">
        <v>16</v>
      </c>
      <c r="J410" s="1" t="s">
        <v>24</v>
      </c>
      <c r="K410" s="1" t="s">
        <v>18</v>
      </c>
      <c r="L410" s="5" t="s">
        <v>43</v>
      </c>
      <c r="M410" s="1" t="s">
        <v>31</v>
      </c>
      <c r="N410" s="1" t="str">
        <f>YEAR(sales_data[[#This Row],[Date]]) &amp; "-" &amp; TEXT(MONTH(sales_data[[#This Row],[Date]]), "00")</f>
        <v>2023-09</v>
      </c>
      <c r="O410" s="1">
        <f xml:space="preserve"> (sales_data[[#This Row],[Sales]]* (100 - sales_data[[#This Row],[Discount]]))/100</f>
        <v>18367.215676332999</v>
      </c>
    </row>
    <row r="411" spans="1:15" x14ac:dyDescent="0.5">
      <c r="A411" s="1" t="s">
        <v>676</v>
      </c>
      <c r="B411" s="1" t="s">
        <v>22</v>
      </c>
      <c r="C411">
        <v>17580.570829728302</v>
      </c>
      <c r="D411">
        <v>10</v>
      </c>
      <c r="E411" s="2">
        <v>45184</v>
      </c>
      <c r="F411" s="1">
        <v>134</v>
      </c>
      <c r="G411" s="1">
        <v>87</v>
      </c>
      <c r="H411" s="1" t="s">
        <v>15</v>
      </c>
      <c r="I411" s="1" t="s">
        <v>33</v>
      </c>
      <c r="J411" s="1" t="s">
        <v>17</v>
      </c>
      <c r="K411" s="1" t="s">
        <v>35</v>
      </c>
      <c r="L411" s="5" t="s">
        <v>19</v>
      </c>
      <c r="M411" s="1" t="s">
        <v>55</v>
      </c>
      <c r="N411" s="1" t="str">
        <f>YEAR(sales_data[[#This Row],[Date]]) &amp; "-" &amp; TEXT(MONTH(sales_data[[#This Row],[Date]]), "00")</f>
        <v>2023-09</v>
      </c>
      <c r="O411" s="1">
        <f xml:space="preserve"> (sales_data[[#This Row],[Sales]]* (100 - sales_data[[#This Row],[Discount]]))/100</f>
        <v>15822.513746755472</v>
      </c>
    </row>
    <row r="412" spans="1:15" x14ac:dyDescent="0.5">
      <c r="A412" s="1" t="s">
        <v>249</v>
      </c>
      <c r="B412" s="1" t="s">
        <v>22</v>
      </c>
      <c r="C412">
        <v>20357.831186096901</v>
      </c>
      <c r="D412">
        <v>5</v>
      </c>
      <c r="E412" s="2">
        <v>45185</v>
      </c>
      <c r="F412" s="1">
        <v>166</v>
      </c>
      <c r="G412" s="1">
        <v>55</v>
      </c>
      <c r="H412" s="1" t="s">
        <v>38</v>
      </c>
      <c r="I412" s="1" t="s">
        <v>23</v>
      </c>
      <c r="J412" s="1" t="s">
        <v>17</v>
      </c>
      <c r="K412" s="1" t="s">
        <v>18</v>
      </c>
      <c r="L412" s="5" t="s">
        <v>58</v>
      </c>
      <c r="M412" s="1" t="s">
        <v>55</v>
      </c>
      <c r="N412" s="1" t="str">
        <f>YEAR(sales_data[[#This Row],[Date]]) &amp; "-" &amp; TEXT(MONTH(sales_data[[#This Row],[Date]]), "00")</f>
        <v>2023-09</v>
      </c>
      <c r="O412" s="1">
        <f xml:space="preserve"> (sales_data[[#This Row],[Sales]]* (100 - sales_data[[#This Row],[Discount]]))/100</f>
        <v>19339.939626792053</v>
      </c>
    </row>
    <row r="413" spans="1:15" x14ac:dyDescent="0.5">
      <c r="A413" s="1" t="s">
        <v>323</v>
      </c>
      <c r="B413" s="1" t="s">
        <v>29</v>
      </c>
      <c r="C413">
        <v>16435.771086614099</v>
      </c>
      <c r="D413">
        <v>0</v>
      </c>
      <c r="E413" s="2">
        <v>45185</v>
      </c>
      <c r="F413" s="1">
        <v>135</v>
      </c>
      <c r="G413" s="1">
        <v>25</v>
      </c>
      <c r="H413" s="1" t="s">
        <v>15</v>
      </c>
      <c r="I413" s="1" t="s">
        <v>23</v>
      </c>
      <c r="J413" s="1" t="s">
        <v>34</v>
      </c>
      <c r="K413" s="1" t="s">
        <v>18</v>
      </c>
      <c r="L413" s="5" t="s">
        <v>58</v>
      </c>
      <c r="M413" s="1" t="s">
        <v>55</v>
      </c>
      <c r="N413" s="1" t="str">
        <f>YEAR(sales_data[[#This Row],[Date]]) &amp; "-" &amp; TEXT(MONTH(sales_data[[#This Row],[Date]]), "00")</f>
        <v>2023-09</v>
      </c>
      <c r="O413" s="1">
        <f xml:space="preserve"> (sales_data[[#This Row],[Sales]]* (100 - sales_data[[#This Row],[Discount]]))/100</f>
        <v>16435.771086614099</v>
      </c>
    </row>
    <row r="414" spans="1:15" x14ac:dyDescent="0.5">
      <c r="A414" s="1" t="s">
        <v>499</v>
      </c>
      <c r="B414" s="1" t="s">
        <v>29</v>
      </c>
      <c r="C414">
        <v>19752.681451737801</v>
      </c>
      <c r="D414">
        <v>5</v>
      </c>
      <c r="E414" s="2">
        <v>45186</v>
      </c>
      <c r="F414" s="1">
        <v>180</v>
      </c>
      <c r="G414" s="1">
        <v>18</v>
      </c>
      <c r="H414" s="1" t="s">
        <v>15</v>
      </c>
      <c r="I414" s="1" t="s">
        <v>16</v>
      </c>
      <c r="J414" s="1" t="s">
        <v>24</v>
      </c>
      <c r="K414" s="1" t="s">
        <v>35</v>
      </c>
      <c r="L414" s="5" t="s">
        <v>36</v>
      </c>
      <c r="M414" s="1" t="s">
        <v>31</v>
      </c>
      <c r="N414" s="1" t="str">
        <f>YEAR(sales_data[[#This Row],[Date]]) &amp; "-" &amp; TEXT(MONTH(sales_data[[#This Row],[Date]]), "00")</f>
        <v>2023-09</v>
      </c>
      <c r="O414" s="1">
        <f xml:space="preserve"> (sales_data[[#This Row],[Sales]]* (100 - sales_data[[#This Row],[Discount]]))/100</f>
        <v>18765.04737915091</v>
      </c>
    </row>
    <row r="415" spans="1:15" x14ac:dyDescent="0.5">
      <c r="A415" s="1" t="s">
        <v>239</v>
      </c>
      <c r="B415" s="1" t="s">
        <v>14</v>
      </c>
      <c r="C415">
        <v>21692.482037472</v>
      </c>
      <c r="D415">
        <v>0</v>
      </c>
      <c r="E415" s="2">
        <v>45187</v>
      </c>
      <c r="F415" s="1">
        <v>155</v>
      </c>
      <c r="G415" s="1">
        <v>89</v>
      </c>
      <c r="H415" s="1" t="s">
        <v>15</v>
      </c>
      <c r="I415" s="1" t="s">
        <v>16</v>
      </c>
      <c r="J415" s="1" t="s">
        <v>34</v>
      </c>
      <c r="K415" s="1" t="s">
        <v>18</v>
      </c>
      <c r="L415" s="5" t="s">
        <v>36</v>
      </c>
      <c r="M415" s="1" t="s">
        <v>48</v>
      </c>
      <c r="N415" s="1" t="str">
        <f>YEAR(sales_data[[#This Row],[Date]]) &amp; "-" &amp; TEXT(MONTH(sales_data[[#This Row],[Date]]), "00")</f>
        <v>2023-09</v>
      </c>
      <c r="O415" s="1">
        <f xml:space="preserve"> (sales_data[[#This Row],[Sales]]* (100 - sales_data[[#This Row],[Discount]]))/100</f>
        <v>21692.482037472</v>
      </c>
    </row>
    <row r="416" spans="1:15" x14ac:dyDescent="0.5">
      <c r="A416" s="1" t="s">
        <v>456</v>
      </c>
      <c r="B416" s="1" t="s">
        <v>22</v>
      </c>
      <c r="C416">
        <v>23407.503486863101</v>
      </c>
      <c r="D416">
        <v>10</v>
      </c>
      <c r="E416" s="2">
        <v>45188</v>
      </c>
      <c r="F416" s="1">
        <v>144</v>
      </c>
      <c r="G416" s="1">
        <v>46</v>
      </c>
      <c r="H416" s="1" t="s">
        <v>15</v>
      </c>
      <c r="I416" s="1" t="s">
        <v>23</v>
      </c>
      <c r="J416" s="1" t="s">
        <v>17</v>
      </c>
      <c r="K416" s="1" t="s">
        <v>25</v>
      </c>
      <c r="L416" s="5" t="s">
        <v>54</v>
      </c>
      <c r="M416" s="1" t="s">
        <v>44</v>
      </c>
      <c r="N416" s="1" t="str">
        <f>YEAR(sales_data[[#This Row],[Date]]) &amp; "-" &amp; TEXT(MONTH(sales_data[[#This Row],[Date]]), "00")</f>
        <v>2023-09</v>
      </c>
      <c r="O416" s="1">
        <f xml:space="preserve"> (sales_data[[#This Row],[Sales]]* (100 - sales_data[[#This Row],[Discount]]))/100</f>
        <v>21066.753138176791</v>
      </c>
    </row>
    <row r="417" spans="1:15" x14ac:dyDescent="0.5">
      <c r="A417" s="1" t="s">
        <v>708</v>
      </c>
      <c r="B417" s="1" t="s">
        <v>50</v>
      </c>
      <c r="C417">
        <v>26900.456770737201</v>
      </c>
      <c r="D417">
        <v>10</v>
      </c>
      <c r="E417" s="2">
        <v>45188</v>
      </c>
      <c r="F417" s="1">
        <v>195</v>
      </c>
      <c r="G417" s="1">
        <v>90</v>
      </c>
      <c r="H417" s="1" t="s">
        <v>15</v>
      </c>
      <c r="I417" s="1" t="s">
        <v>23</v>
      </c>
      <c r="J417" s="1" t="s">
        <v>34</v>
      </c>
      <c r="K417" s="1" t="s">
        <v>25</v>
      </c>
      <c r="L417" s="5" t="s">
        <v>38</v>
      </c>
      <c r="M417" s="1" t="s">
        <v>27</v>
      </c>
      <c r="N417" s="1" t="str">
        <f>YEAR(sales_data[[#This Row],[Date]]) &amp; "-" &amp; TEXT(MONTH(sales_data[[#This Row],[Date]]), "00")</f>
        <v>2023-09</v>
      </c>
      <c r="O417" s="1">
        <f xml:space="preserve"> (sales_data[[#This Row],[Sales]]* (100 - sales_data[[#This Row],[Discount]]))/100</f>
        <v>24210.411093663479</v>
      </c>
    </row>
    <row r="418" spans="1:15" x14ac:dyDescent="0.5">
      <c r="A418" s="1" t="s">
        <v>176</v>
      </c>
      <c r="B418" s="1" t="s">
        <v>29</v>
      </c>
      <c r="C418">
        <v>15112.2237760072</v>
      </c>
      <c r="D418">
        <v>10</v>
      </c>
      <c r="E418" s="2">
        <v>45190</v>
      </c>
      <c r="F418" s="1">
        <v>124</v>
      </c>
      <c r="G418" s="1">
        <v>97</v>
      </c>
      <c r="H418" s="1" t="s">
        <v>38</v>
      </c>
      <c r="I418" s="1" t="s">
        <v>16</v>
      </c>
      <c r="J418" s="1" t="s">
        <v>17</v>
      </c>
      <c r="K418" s="1" t="s">
        <v>18</v>
      </c>
      <c r="L418" s="5" t="s">
        <v>36</v>
      </c>
      <c r="M418" s="1" t="s">
        <v>20</v>
      </c>
      <c r="N418" s="1" t="str">
        <f>YEAR(sales_data[[#This Row],[Date]]) &amp; "-" &amp; TEXT(MONTH(sales_data[[#This Row],[Date]]), "00")</f>
        <v>2023-09</v>
      </c>
      <c r="O418" s="1">
        <f xml:space="preserve"> (sales_data[[#This Row],[Sales]]* (100 - sales_data[[#This Row],[Discount]]))/100</f>
        <v>13601.001398406481</v>
      </c>
    </row>
    <row r="419" spans="1:15" x14ac:dyDescent="0.5">
      <c r="A419" s="1" t="s">
        <v>673</v>
      </c>
      <c r="B419" s="1" t="s">
        <v>14</v>
      </c>
      <c r="C419">
        <v>28679.8190158262</v>
      </c>
      <c r="D419">
        <v>0</v>
      </c>
      <c r="E419" s="2">
        <v>45190</v>
      </c>
      <c r="F419" s="1">
        <v>199</v>
      </c>
      <c r="G419" s="1">
        <v>58</v>
      </c>
      <c r="H419" s="1" t="s">
        <v>15</v>
      </c>
      <c r="I419" s="1" t="s">
        <v>33</v>
      </c>
      <c r="J419" s="1" t="s">
        <v>17</v>
      </c>
      <c r="K419" s="1" t="s">
        <v>25</v>
      </c>
      <c r="L419" s="5" t="s">
        <v>43</v>
      </c>
      <c r="M419" s="1" t="s">
        <v>55</v>
      </c>
      <c r="N419" s="1" t="str">
        <f>YEAR(sales_data[[#This Row],[Date]]) &amp; "-" &amp; TEXT(MONTH(sales_data[[#This Row],[Date]]), "00")</f>
        <v>2023-09</v>
      </c>
      <c r="O419" s="1">
        <f xml:space="preserve"> (sales_data[[#This Row],[Sales]]* (100 - sales_data[[#This Row],[Discount]]))/100</f>
        <v>28679.8190158262</v>
      </c>
    </row>
    <row r="420" spans="1:15" x14ac:dyDescent="0.5">
      <c r="A420" s="1" t="s">
        <v>864</v>
      </c>
      <c r="B420" s="1" t="s">
        <v>29</v>
      </c>
      <c r="C420">
        <v>20202.958456019402</v>
      </c>
      <c r="D420">
        <v>10</v>
      </c>
      <c r="E420" s="2">
        <v>45191</v>
      </c>
      <c r="F420" s="1">
        <v>112</v>
      </c>
      <c r="G420" s="1">
        <v>82</v>
      </c>
      <c r="H420" s="1" t="s">
        <v>38</v>
      </c>
      <c r="I420" s="1" t="s">
        <v>23</v>
      </c>
      <c r="J420" s="1" t="s">
        <v>24</v>
      </c>
      <c r="K420" s="1" t="s">
        <v>35</v>
      </c>
      <c r="L420" s="5" t="s">
        <v>19</v>
      </c>
      <c r="M420" s="1" t="s">
        <v>44</v>
      </c>
      <c r="N420" s="1" t="str">
        <f>YEAR(sales_data[[#This Row],[Date]]) &amp; "-" &amp; TEXT(MONTH(sales_data[[#This Row],[Date]]), "00")</f>
        <v>2023-09</v>
      </c>
      <c r="O420" s="1">
        <f xml:space="preserve"> (sales_data[[#This Row],[Sales]]* (100 - sales_data[[#This Row],[Discount]]))/100</f>
        <v>18182.662610417461</v>
      </c>
    </row>
    <row r="421" spans="1:15" x14ac:dyDescent="0.5">
      <c r="A421" s="1" t="s">
        <v>570</v>
      </c>
      <c r="B421" s="1" t="s">
        <v>14</v>
      </c>
      <c r="C421">
        <v>21095.751638319602</v>
      </c>
      <c r="D421">
        <v>10</v>
      </c>
      <c r="E421" s="2">
        <v>45192</v>
      </c>
      <c r="F421" s="1">
        <v>182</v>
      </c>
      <c r="G421" s="1">
        <v>26</v>
      </c>
      <c r="H421" s="1" t="s">
        <v>15</v>
      </c>
      <c r="I421" s="1" t="s">
        <v>33</v>
      </c>
      <c r="J421" s="1" t="s">
        <v>34</v>
      </c>
      <c r="K421" s="1" t="s">
        <v>18</v>
      </c>
      <c r="L421" s="5" t="s">
        <v>46</v>
      </c>
      <c r="M421" s="1" t="s">
        <v>27</v>
      </c>
      <c r="N421" s="1" t="str">
        <f>YEAR(sales_data[[#This Row],[Date]]) &amp; "-" &amp; TEXT(MONTH(sales_data[[#This Row],[Date]]), "00")</f>
        <v>2023-09</v>
      </c>
      <c r="O421" s="1">
        <f xml:space="preserve"> (sales_data[[#This Row],[Sales]]* (100 - sales_data[[#This Row],[Discount]]))/100</f>
        <v>18986.176474487642</v>
      </c>
    </row>
    <row r="422" spans="1:15" x14ac:dyDescent="0.5">
      <c r="A422" s="1" t="s">
        <v>719</v>
      </c>
      <c r="B422" s="1" t="s">
        <v>22</v>
      </c>
      <c r="C422">
        <v>23858.4935532417</v>
      </c>
      <c r="D422">
        <v>15</v>
      </c>
      <c r="E422" s="2">
        <v>45192</v>
      </c>
      <c r="F422" s="1">
        <v>142</v>
      </c>
      <c r="G422" s="1">
        <v>67</v>
      </c>
      <c r="H422" s="1" t="s">
        <v>15</v>
      </c>
      <c r="I422" s="1" t="s">
        <v>16</v>
      </c>
      <c r="J422" s="1" t="s">
        <v>24</v>
      </c>
      <c r="K422" s="1" t="s">
        <v>25</v>
      </c>
      <c r="L422" s="5" t="s">
        <v>54</v>
      </c>
      <c r="M422" s="1" t="s">
        <v>41</v>
      </c>
      <c r="N422" s="1" t="str">
        <f>YEAR(sales_data[[#This Row],[Date]]) &amp; "-" &amp; TEXT(MONTH(sales_data[[#This Row],[Date]]), "00")</f>
        <v>2023-09</v>
      </c>
      <c r="O422" s="1">
        <f xml:space="preserve"> (sales_data[[#This Row],[Sales]]* (100 - sales_data[[#This Row],[Discount]]))/100</f>
        <v>20279.719520255447</v>
      </c>
    </row>
    <row r="423" spans="1:15" x14ac:dyDescent="0.5">
      <c r="A423" s="1" t="s">
        <v>886</v>
      </c>
      <c r="B423" s="1" t="s">
        <v>22</v>
      </c>
      <c r="C423">
        <v>19264.989991857499</v>
      </c>
      <c r="D423">
        <v>10</v>
      </c>
      <c r="E423" s="2">
        <v>45194</v>
      </c>
      <c r="F423" s="1">
        <v>127</v>
      </c>
      <c r="G423" s="1">
        <v>86</v>
      </c>
      <c r="H423" s="1" t="s">
        <v>15</v>
      </c>
      <c r="I423" s="1" t="s">
        <v>23</v>
      </c>
      <c r="J423" s="1" t="s">
        <v>34</v>
      </c>
      <c r="K423" s="1" t="s">
        <v>35</v>
      </c>
      <c r="L423" s="5" t="s">
        <v>54</v>
      </c>
      <c r="M423" s="1" t="s">
        <v>44</v>
      </c>
      <c r="N423" s="1" t="str">
        <f>YEAR(sales_data[[#This Row],[Date]]) &amp; "-" &amp; TEXT(MONTH(sales_data[[#This Row],[Date]]), "00")</f>
        <v>2023-09</v>
      </c>
      <c r="O423" s="1">
        <f xml:space="preserve"> (sales_data[[#This Row],[Sales]]* (100 - sales_data[[#This Row],[Discount]]))/100</f>
        <v>17338.490992671748</v>
      </c>
    </row>
    <row r="424" spans="1:15" x14ac:dyDescent="0.5">
      <c r="A424" s="1" t="s">
        <v>555</v>
      </c>
      <c r="B424" s="1" t="s">
        <v>29</v>
      </c>
      <c r="C424">
        <v>19164.409598415699</v>
      </c>
      <c r="D424">
        <v>15</v>
      </c>
      <c r="E424" s="2">
        <v>45195</v>
      </c>
      <c r="F424" s="1">
        <v>128</v>
      </c>
      <c r="G424" s="1">
        <v>49</v>
      </c>
      <c r="H424" s="1" t="s">
        <v>15</v>
      </c>
      <c r="I424" s="1" t="s">
        <v>33</v>
      </c>
      <c r="J424" s="1" t="s">
        <v>34</v>
      </c>
      <c r="K424" s="1" t="s">
        <v>18</v>
      </c>
      <c r="L424" s="5" t="s">
        <v>38</v>
      </c>
      <c r="M424" s="1" t="s">
        <v>27</v>
      </c>
      <c r="N424" s="1" t="str">
        <f>YEAR(sales_data[[#This Row],[Date]]) &amp; "-" &amp; TEXT(MONTH(sales_data[[#This Row],[Date]]), "00")</f>
        <v>2023-09</v>
      </c>
      <c r="O424" s="1">
        <f xml:space="preserve"> (sales_data[[#This Row],[Sales]]* (100 - sales_data[[#This Row],[Discount]]))/100</f>
        <v>16289.748158653343</v>
      </c>
    </row>
    <row r="425" spans="1:15" x14ac:dyDescent="0.5">
      <c r="A425" s="1" t="s">
        <v>1017</v>
      </c>
      <c r="B425" s="1" t="s">
        <v>29</v>
      </c>
      <c r="C425">
        <v>12605.4421561293</v>
      </c>
      <c r="D425">
        <v>5</v>
      </c>
      <c r="E425" s="2">
        <v>45195</v>
      </c>
      <c r="F425" s="1">
        <v>184</v>
      </c>
      <c r="G425" s="1">
        <v>46</v>
      </c>
      <c r="H425" s="1" t="s">
        <v>15</v>
      </c>
      <c r="I425" s="1" t="s">
        <v>16</v>
      </c>
      <c r="J425" s="1" t="s">
        <v>34</v>
      </c>
      <c r="K425" s="1" t="s">
        <v>25</v>
      </c>
      <c r="L425" s="5" t="s">
        <v>43</v>
      </c>
      <c r="M425" s="1" t="s">
        <v>48</v>
      </c>
      <c r="N425" s="1" t="str">
        <f>YEAR(sales_data[[#This Row],[Date]]) &amp; "-" &amp; TEXT(MONTH(sales_data[[#This Row],[Date]]), "00")</f>
        <v>2023-09</v>
      </c>
      <c r="O425" s="1">
        <f xml:space="preserve"> (sales_data[[#This Row],[Sales]]* (100 - sales_data[[#This Row],[Discount]]))/100</f>
        <v>11975.170048322836</v>
      </c>
    </row>
    <row r="426" spans="1:15" x14ac:dyDescent="0.5">
      <c r="A426" s="1" t="s">
        <v>129</v>
      </c>
      <c r="B426" s="1" t="s">
        <v>14</v>
      </c>
      <c r="C426">
        <v>18624.741514241701</v>
      </c>
      <c r="D426">
        <v>5</v>
      </c>
      <c r="E426" s="2">
        <v>45198</v>
      </c>
      <c r="F426" s="1">
        <v>139</v>
      </c>
      <c r="G426" s="1">
        <v>97</v>
      </c>
      <c r="H426" s="1" t="s">
        <v>15</v>
      </c>
      <c r="I426" s="1" t="s">
        <v>16</v>
      </c>
      <c r="J426" s="1" t="s">
        <v>34</v>
      </c>
      <c r="K426" s="1" t="s">
        <v>25</v>
      </c>
      <c r="L426" s="5" t="s">
        <v>36</v>
      </c>
      <c r="M426" s="1" t="s">
        <v>44</v>
      </c>
      <c r="N426" s="1" t="str">
        <f>YEAR(sales_data[[#This Row],[Date]]) &amp; "-" &amp; TEXT(MONTH(sales_data[[#This Row],[Date]]), "00")</f>
        <v>2023-09</v>
      </c>
      <c r="O426" s="1">
        <f xml:space="preserve"> (sales_data[[#This Row],[Sales]]* (100 - sales_data[[#This Row],[Discount]]))/100</f>
        <v>17693.504438529617</v>
      </c>
    </row>
    <row r="427" spans="1:15" x14ac:dyDescent="0.5">
      <c r="A427" s="1" t="s">
        <v>436</v>
      </c>
      <c r="B427" s="1" t="s">
        <v>14</v>
      </c>
      <c r="C427">
        <v>18762.406822242399</v>
      </c>
      <c r="D427">
        <v>5</v>
      </c>
      <c r="E427" s="2">
        <v>45198</v>
      </c>
      <c r="F427" s="1">
        <v>100</v>
      </c>
      <c r="G427" s="1">
        <v>84</v>
      </c>
      <c r="H427" s="1" t="s">
        <v>15</v>
      </c>
      <c r="I427" s="1" t="s">
        <v>16</v>
      </c>
      <c r="J427" s="1" t="s">
        <v>17</v>
      </c>
      <c r="K427" s="1" t="s">
        <v>35</v>
      </c>
      <c r="L427" s="5" t="s">
        <v>54</v>
      </c>
      <c r="M427" s="1" t="s">
        <v>31</v>
      </c>
      <c r="N427" s="1" t="str">
        <f>YEAR(sales_data[[#This Row],[Date]]) &amp; "-" &amp; TEXT(MONTH(sales_data[[#This Row],[Date]]), "00")</f>
        <v>2023-09</v>
      </c>
      <c r="O427" s="1">
        <f xml:space="preserve"> (sales_data[[#This Row],[Sales]]* (100 - sales_data[[#This Row],[Discount]]))/100</f>
        <v>17824.286481130279</v>
      </c>
    </row>
    <row r="428" spans="1:15" x14ac:dyDescent="0.5">
      <c r="A428" s="1" t="s">
        <v>596</v>
      </c>
      <c r="B428" s="1" t="s">
        <v>22</v>
      </c>
      <c r="C428">
        <v>23541.7822364967</v>
      </c>
      <c r="D428">
        <v>10</v>
      </c>
      <c r="E428" s="2">
        <v>45198</v>
      </c>
      <c r="F428" s="1">
        <v>116</v>
      </c>
      <c r="G428" s="1">
        <v>30</v>
      </c>
      <c r="H428" s="1" t="s">
        <v>15</v>
      </c>
      <c r="I428" s="1" t="s">
        <v>16</v>
      </c>
      <c r="J428" s="1" t="s">
        <v>24</v>
      </c>
      <c r="K428" s="1" t="s">
        <v>18</v>
      </c>
      <c r="L428" s="5" t="s">
        <v>26</v>
      </c>
      <c r="M428" s="1" t="s">
        <v>44</v>
      </c>
      <c r="N428" s="1" t="str">
        <f>YEAR(sales_data[[#This Row],[Date]]) &amp; "-" &amp; TEXT(MONTH(sales_data[[#This Row],[Date]]), "00")</f>
        <v>2023-09</v>
      </c>
      <c r="O428" s="1">
        <f xml:space="preserve"> (sales_data[[#This Row],[Sales]]* (100 - sales_data[[#This Row],[Discount]]))/100</f>
        <v>21187.60401284703</v>
      </c>
    </row>
    <row r="429" spans="1:15" x14ac:dyDescent="0.5">
      <c r="A429" s="1" t="s">
        <v>651</v>
      </c>
      <c r="B429" s="1" t="s">
        <v>14</v>
      </c>
      <c r="C429">
        <v>18764.113087397</v>
      </c>
      <c r="D429">
        <v>10</v>
      </c>
      <c r="E429" s="2">
        <v>45198</v>
      </c>
      <c r="F429" s="1">
        <v>153</v>
      </c>
      <c r="G429" s="1">
        <v>36</v>
      </c>
      <c r="H429" s="1" t="s">
        <v>15</v>
      </c>
      <c r="I429" s="1" t="s">
        <v>33</v>
      </c>
      <c r="J429" s="1" t="s">
        <v>24</v>
      </c>
      <c r="K429" s="1" t="s">
        <v>18</v>
      </c>
      <c r="L429" s="5" t="s">
        <v>54</v>
      </c>
      <c r="M429" s="1" t="s">
        <v>31</v>
      </c>
      <c r="N429" s="1" t="str">
        <f>YEAR(sales_data[[#This Row],[Date]]) &amp; "-" &amp; TEXT(MONTH(sales_data[[#This Row],[Date]]), "00")</f>
        <v>2023-09</v>
      </c>
      <c r="O429" s="1">
        <f xml:space="preserve"> (sales_data[[#This Row],[Sales]]* (100 - sales_data[[#This Row],[Discount]]))/100</f>
        <v>16887.701778657298</v>
      </c>
    </row>
    <row r="430" spans="1:15" x14ac:dyDescent="0.5">
      <c r="A430" s="1" t="s">
        <v>190</v>
      </c>
      <c r="B430" s="1" t="s">
        <v>14</v>
      </c>
      <c r="C430">
        <v>11692.399688655199</v>
      </c>
      <c r="D430">
        <v>10</v>
      </c>
      <c r="E430" s="2">
        <v>45199</v>
      </c>
      <c r="F430" s="1">
        <v>159</v>
      </c>
      <c r="G430" s="1">
        <v>94</v>
      </c>
      <c r="H430" s="1" t="s">
        <v>15</v>
      </c>
      <c r="I430" s="1" t="s">
        <v>16</v>
      </c>
      <c r="J430" s="1" t="s">
        <v>34</v>
      </c>
      <c r="K430" s="1" t="s">
        <v>18</v>
      </c>
      <c r="L430" s="5" t="s">
        <v>30</v>
      </c>
      <c r="M430" s="1" t="s">
        <v>44</v>
      </c>
      <c r="N430" s="1" t="str">
        <f>YEAR(sales_data[[#This Row],[Date]]) &amp; "-" &amp; TEXT(MONTH(sales_data[[#This Row],[Date]]), "00")</f>
        <v>2023-09</v>
      </c>
      <c r="O430" s="1">
        <f xml:space="preserve"> (sales_data[[#This Row],[Sales]]* (100 - sales_data[[#This Row],[Discount]]))/100</f>
        <v>10523.159719789681</v>
      </c>
    </row>
    <row r="431" spans="1:15" x14ac:dyDescent="0.5">
      <c r="A431" s="1" t="s">
        <v>367</v>
      </c>
      <c r="B431" s="1" t="s">
        <v>22</v>
      </c>
      <c r="C431">
        <v>9590.3529605813892</v>
      </c>
      <c r="D431">
        <v>0</v>
      </c>
      <c r="E431" s="2">
        <v>45199</v>
      </c>
      <c r="F431" s="1">
        <v>181</v>
      </c>
      <c r="G431" s="1">
        <v>19</v>
      </c>
      <c r="H431" s="1" t="s">
        <v>15</v>
      </c>
      <c r="I431" s="1" t="s">
        <v>33</v>
      </c>
      <c r="J431" s="1" t="s">
        <v>34</v>
      </c>
      <c r="K431" s="1" t="s">
        <v>25</v>
      </c>
      <c r="L431" s="5" t="s">
        <v>38</v>
      </c>
      <c r="M431" s="1" t="s">
        <v>27</v>
      </c>
      <c r="N431" s="1" t="str">
        <f>YEAR(sales_data[[#This Row],[Date]]) &amp; "-" &amp; TEXT(MONTH(sales_data[[#This Row],[Date]]), "00")</f>
        <v>2023-09</v>
      </c>
      <c r="O431" s="1">
        <f xml:space="preserve"> (sales_data[[#This Row],[Sales]]* (100 - sales_data[[#This Row],[Discount]]))/100</f>
        <v>9590.3529605813892</v>
      </c>
    </row>
    <row r="432" spans="1:15" x14ac:dyDescent="0.5">
      <c r="A432" s="1" t="s">
        <v>876</v>
      </c>
      <c r="B432" s="1" t="s">
        <v>29</v>
      </c>
      <c r="C432">
        <v>21394.970811119001</v>
      </c>
      <c r="D432">
        <v>15</v>
      </c>
      <c r="E432" s="2">
        <v>45199</v>
      </c>
      <c r="F432" s="1">
        <v>187</v>
      </c>
      <c r="G432" s="1">
        <v>22</v>
      </c>
      <c r="H432" s="1" t="s">
        <v>15</v>
      </c>
      <c r="I432" s="1" t="s">
        <v>33</v>
      </c>
      <c r="J432" s="1" t="s">
        <v>17</v>
      </c>
      <c r="K432" s="1" t="s">
        <v>25</v>
      </c>
      <c r="L432" s="5" t="s">
        <v>85</v>
      </c>
      <c r="M432" s="1" t="s">
        <v>31</v>
      </c>
      <c r="N432" s="1" t="str">
        <f>YEAR(sales_data[[#This Row],[Date]]) &amp; "-" &amp; TEXT(MONTH(sales_data[[#This Row],[Date]]), "00")</f>
        <v>2023-09</v>
      </c>
      <c r="O432" s="1">
        <f xml:space="preserve"> (sales_data[[#This Row],[Sales]]* (100 - sales_data[[#This Row],[Discount]]))/100</f>
        <v>18185.72518945115</v>
      </c>
    </row>
    <row r="433" spans="1:15" x14ac:dyDescent="0.5">
      <c r="A433" s="1" t="s">
        <v>563</v>
      </c>
      <c r="B433" s="1" t="s">
        <v>22</v>
      </c>
      <c r="C433">
        <v>20955.4953400995</v>
      </c>
      <c r="D433">
        <v>10</v>
      </c>
      <c r="E433" s="2">
        <v>45201</v>
      </c>
      <c r="F433" s="1">
        <v>143</v>
      </c>
      <c r="G433" s="1">
        <v>17</v>
      </c>
      <c r="H433" s="1" t="s">
        <v>15</v>
      </c>
      <c r="I433" s="1" t="s">
        <v>33</v>
      </c>
      <c r="J433" s="1" t="s">
        <v>24</v>
      </c>
      <c r="K433" s="1" t="s">
        <v>25</v>
      </c>
      <c r="L433" s="5" t="s">
        <v>19</v>
      </c>
      <c r="M433" s="1" t="s">
        <v>31</v>
      </c>
      <c r="N433" s="1" t="str">
        <f>YEAR(sales_data[[#This Row],[Date]]) &amp; "-" &amp; TEXT(MONTH(sales_data[[#This Row],[Date]]), "00")</f>
        <v>2023-10</v>
      </c>
      <c r="O433" s="1">
        <f xml:space="preserve"> (sales_data[[#This Row],[Sales]]* (100 - sales_data[[#This Row],[Discount]]))/100</f>
        <v>18859.945806089552</v>
      </c>
    </row>
    <row r="434" spans="1:15" x14ac:dyDescent="0.5">
      <c r="A434" s="1" t="s">
        <v>704</v>
      </c>
      <c r="B434" s="1" t="s">
        <v>50</v>
      </c>
      <c r="C434">
        <v>24418.2996874333</v>
      </c>
      <c r="D434">
        <v>5</v>
      </c>
      <c r="E434" s="2">
        <v>45201</v>
      </c>
      <c r="F434" s="1">
        <v>133</v>
      </c>
      <c r="G434" s="1">
        <v>11</v>
      </c>
      <c r="H434" s="1" t="s">
        <v>15</v>
      </c>
      <c r="I434" s="1" t="s">
        <v>16</v>
      </c>
      <c r="J434" s="1" t="s">
        <v>24</v>
      </c>
      <c r="K434" s="1" t="s">
        <v>18</v>
      </c>
      <c r="L434" s="5" t="s">
        <v>46</v>
      </c>
      <c r="M434" s="1" t="s">
        <v>48</v>
      </c>
      <c r="N434" s="1" t="str">
        <f>YEAR(sales_data[[#This Row],[Date]]) &amp; "-" &amp; TEXT(MONTH(sales_data[[#This Row],[Date]]), "00")</f>
        <v>2023-10</v>
      </c>
      <c r="O434" s="1">
        <f xml:space="preserve"> (sales_data[[#This Row],[Sales]]* (100 - sales_data[[#This Row],[Discount]]))/100</f>
        <v>23197.384703061638</v>
      </c>
    </row>
    <row r="435" spans="1:15" x14ac:dyDescent="0.5">
      <c r="A435" s="1" t="s">
        <v>138</v>
      </c>
      <c r="B435" s="1" t="s">
        <v>50</v>
      </c>
      <c r="C435">
        <v>25597.8745571728</v>
      </c>
      <c r="D435">
        <v>0</v>
      </c>
      <c r="E435" s="2">
        <v>45202</v>
      </c>
      <c r="F435" s="1">
        <v>128</v>
      </c>
      <c r="G435" s="1">
        <v>13</v>
      </c>
      <c r="H435" s="1" t="s">
        <v>15</v>
      </c>
      <c r="I435" s="1" t="s">
        <v>33</v>
      </c>
      <c r="J435" s="1" t="s">
        <v>17</v>
      </c>
      <c r="K435" s="1" t="s">
        <v>25</v>
      </c>
      <c r="L435" s="5" t="s">
        <v>85</v>
      </c>
      <c r="M435" s="1" t="s">
        <v>44</v>
      </c>
      <c r="N435" s="1" t="str">
        <f>YEAR(sales_data[[#This Row],[Date]]) &amp; "-" &amp; TEXT(MONTH(sales_data[[#This Row],[Date]]), "00")</f>
        <v>2023-10</v>
      </c>
      <c r="O435" s="1">
        <f xml:space="preserve"> (sales_data[[#This Row],[Sales]]* (100 - sales_data[[#This Row],[Discount]]))/100</f>
        <v>25597.8745571728</v>
      </c>
    </row>
    <row r="436" spans="1:15" x14ac:dyDescent="0.5">
      <c r="A436" s="1" t="s">
        <v>316</v>
      </c>
      <c r="B436" s="1" t="s">
        <v>22</v>
      </c>
      <c r="C436">
        <v>19879.374564449899</v>
      </c>
      <c r="D436">
        <v>10</v>
      </c>
      <c r="E436" s="2">
        <v>45202</v>
      </c>
      <c r="F436" s="1">
        <v>118</v>
      </c>
      <c r="G436" s="1">
        <v>17</v>
      </c>
      <c r="H436" s="1" t="s">
        <v>38</v>
      </c>
      <c r="I436" s="1" t="s">
        <v>16</v>
      </c>
      <c r="J436" s="1" t="s">
        <v>24</v>
      </c>
      <c r="K436" s="1" t="s">
        <v>35</v>
      </c>
      <c r="L436" s="5" t="s">
        <v>54</v>
      </c>
      <c r="M436" s="1" t="s">
        <v>31</v>
      </c>
      <c r="N436" s="1" t="str">
        <f>YEAR(sales_data[[#This Row],[Date]]) &amp; "-" &amp; TEXT(MONTH(sales_data[[#This Row],[Date]]), "00")</f>
        <v>2023-10</v>
      </c>
      <c r="O436" s="1">
        <f xml:space="preserve"> (sales_data[[#This Row],[Sales]]* (100 - sales_data[[#This Row],[Discount]]))/100</f>
        <v>17891.43710800491</v>
      </c>
    </row>
    <row r="437" spans="1:15" x14ac:dyDescent="0.5">
      <c r="A437" s="1" t="s">
        <v>60</v>
      </c>
      <c r="B437" s="1" t="s">
        <v>22</v>
      </c>
      <c r="C437">
        <v>20026.218498590901</v>
      </c>
      <c r="D437">
        <v>5</v>
      </c>
      <c r="E437" s="2">
        <v>45203</v>
      </c>
      <c r="F437" s="1">
        <v>107</v>
      </c>
      <c r="G437" s="1">
        <v>11</v>
      </c>
      <c r="H437" s="1" t="s">
        <v>15</v>
      </c>
      <c r="I437" s="1" t="s">
        <v>16</v>
      </c>
      <c r="J437" s="1" t="s">
        <v>34</v>
      </c>
      <c r="K437" s="1" t="s">
        <v>18</v>
      </c>
      <c r="L437" s="5" t="s">
        <v>43</v>
      </c>
      <c r="M437" s="1" t="s">
        <v>44</v>
      </c>
      <c r="N437" s="1" t="str">
        <f>YEAR(sales_data[[#This Row],[Date]]) &amp; "-" &amp; TEXT(MONTH(sales_data[[#This Row],[Date]]), "00")</f>
        <v>2023-10</v>
      </c>
      <c r="O437" s="1">
        <f xml:space="preserve"> (sales_data[[#This Row],[Sales]]* (100 - sales_data[[#This Row],[Discount]]))/100</f>
        <v>19024.907573661356</v>
      </c>
    </row>
    <row r="438" spans="1:15" x14ac:dyDescent="0.5">
      <c r="A438" s="1" t="s">
        <v>339</v>
      </c>
      <c r="B438" s="1" t="s">
        <v>50</v>
      </c>
      <c r="C438">
        <v>23608.360320216099</v>
      </c>
      <c r="D438">
        <v>10</v>
      </c>
      <c r="E438" s="2">
        <v>45203</v>
      </c>
      <c r="F438" s="1">
        <v>119</v>
      </c>
      <c r="G438" s="1">
        <v>40</v>
      </c>
      <c r="H438" s="1" t="s">
        <v>15</v>
      </c>
      <c r="I438" s="1" t="s">
        <v>33</v>
      </c>
      <c r="J438" s="1" t="s">
        <v>24</v>
      </c>
      <c r="K438" s="1" t="s">
        <v>18</v>
      </c>
      <c r="L438" s="5" t="s">
        <v>46</v>
      </c>
      <c r="M438" s="1" t="s">
        <v>27</v>
      </c>
      <c r="N438" s="1" t="str">
        <f>YEAR(sales_data[[#This Row],[Date]]) &amp; "-" &amp; TEXT(MONTH(sales_data[[#This Row],[Date]]), "00")</f>
        <v>2023-10</v>
      </c>
      <c r="O438" s="1">
        <f xml:space="preserve"> (sales_data[[#This Row],[Sales]]* (100 - sales_data[[#This Row],[Discount]]))/100</f>
        <v>21247.524288194491</v>
      </c>
    </row>
    <row r="439" spans="1:15" x14ac:dyDescent="0.5">
      <c r="A439" s="1" t="s">
        <v>441</v>
      </c>
      <c r="B439" s="1" t="s">
        <v>22</v>
      </c>
      <c r="C439">
        <v>21900.989255029799</v>
      </c>
      <c r="D439">
        <v>10</v>
      </c>
      <c r="E439" s="2">
        <v>45203</v>
      </c>
      <c r="F439" s="1">
        <v>122</v>
      </c>
      <c r="G439" s="1">
        <v>1</v>
      </c>
      <c r="H439" s="1" t="s">
        <v>15</v>
      </c>
      <c r="I439" s="1" t="s">
        <v>33</v>
      </c>
      <c r="J439" s="1" t="s">
        <v>34</v>
      </c>
      <c r="K439" s="1" t="s">
        <v>25</v>
      </c>
      <c r="L439" s="5" t="s">
        <v>26</v>
      </c>
      <c r="M439" s="1" t="s">
        <v>20</v>
      </c>
      <c r="N439" s="1" t="str">
        <f>YEAR(sales_data[[#This Row],[Date]]) &amp; "-" &amp; TEXT(MONTH(sales_data[[#This Row],[Date]]), "00")</f>
        <v>2023-10</v>
      </c>
      <c r="O439" s="1">
        <f xml:space="preserve"> (sales_data[[#This Row],[Sales]]* (100 - sales_data[[#This Row],[Discount]]))/100</f>
        <v>19710.890329526817</v>
      </c>
    </row>
    <row r="440" spans="1:15" x14ac:dyDescent="0.5">
      <c r="A440" s="1" t="s">
        <v>961</v>
      </c>
      <c r="B440" s="1" t="s">
        <v>50</v>
      </c>
      <c r="C440">
        <v>19125.201216522899</v>
      </c>
      <c r="D440">
        <v>10</v>
      </c>
      <c r="E440" s="2">
        <v>45204</v>
      </c>
      <c r="F440" s="1">
        <v>146</v>
      </c>
      <c r="G440" s="1">
        <v>17</v>
      </c>
      <c r="H440" s="1" t="s">
        <v>15</v>
      </c>
      <c r="I440" s="1" t="s">
        <v>33</v>
      </c>
      <c r="J440" s="1" t="s">
        <v>24</v>
      </c>
      <c r="K440" s="1" t="s">
        <v>25</v>
      </c>
      <c r="L440" s="5" t="s">
        <v>38</v>
      </c>
      <c r="M440" s="1" t="s">
        <v>55</v>
      </c>
      <c r="N440" s="1" t="str">
        <f>YEAR(sales_data[[#This Row],[Date]]) &amp; "-" &amp; TEXT(MONTH(sales_data[[#This Row],[Date]]), "00")</f>
        <v>2023-10</v>
      </c>
      <c r="O440" s="1">
        <f xml:space="preserve"> (sales_data[[#This Row],[Sales]]* (100 - sales_data[[#This Row],[Discount]]))/100</f>
        <v>17212.681094870608</v>
      </c>
    </row>
    <row r="441" spans="1:15" x14ac:dyDescent="0.5">
      <c r="A441" s="1" t="s">
        <v>295</v>
      </c>
      <c r="B441" s="1" t="s">
        <v>50</v>
      </c>
      <c r="C441">
        <v>24115.852919809498</v>
      </c>
      <c r="D441">
        <v>0</v>
      </c>
      <c r="E441" s="2">
        <v>45206</v>
      </c>
      <c r="F441" s="1">
        <v>184</v>
      </c>
      <c r="G441" s="1">
        <v>30</v>
      </c>
      <c r="H441" s="1" t="s">
        <v>15</v>
      </c>
      <c r="I441" s="1" t="s">
        <v>16</v>
      </c>
      <c r="J441" s="1" t="s">
        <v>24</v>
      </c>
      <c r="K441" s="1" t="s">
        <v>35</v>
      </c>
      <c r="L441" s="5" t="s">
        <v>43</v>
      </c>
      <c r="M441" s="1" t="s">
        <v>41</v>
      </c>
      <c r="N441" s="1" t="str">
        <f>YEAR(sales_data[[#This Row],[Date]]) &amp; "-" &amp; TEXT(MONTH(sales_data[[#This Row],[Date]]), "00")</f>
        <v>2023-10</v>
      </c>
      <c r="O441" s="1">
        <f xml:space="preserve"> (sales_data[[#This Row],[Sales]]* (100 - sales_data[[#This Row],[Discount]]))/100</f>
        <v>24115.852919809498</v>
      </c>
    </row>
    <row r="442" spans="1:15" x14ac:dyDescent="0.5">
      <c r="A442" s="1" t="s">
        <v>963</v>
      </c>
      <c r="B442" s="1" t="s">
        <v>22</v>
      </c>
      <c r="C442">
        <v>22682.549217852</v>
      </c>
      <c r="D442">
        <v>15</v>
      </c>
      <c r="E442" s="2">
        <v>45208</v>
      </c>
      <c r="F442" s="1">
        <v>125</v>
      </c>
      <c r="G442" s="1">
        <v>42</v>
      </c>
      <c r="H442" s="1" t="s">
        <v>15</v>
      </c>
      <c r="I442" s="1" t="s">
        <v>33</v>
      </c>
      <c r="J442" s="1" t="s">
        <v>34</v>
      </c>
      <c r="K442" s="1" t="s">
        <v>25</v>
      </c>
      <c r="L442" s="5" t="s">
        <v>38</v>
      </c>
      <c r="M442" s="1" t="s">
        <v>44</v>
      </c>
      <c r="N442" s="1" t="str">
        <f>YEAR(sales_data[[#This Row],[Date]]) &amp; "-" &amp; TEXT(MONTH(sales_data[[#This Row],[Date]]), "00")</f>
        <v>2023-10</v>
      </c>
      <c r="O442" s="1">
        <f xml:space="preserve"> (sales_data[[#This Row],[Sales]]* (100 - sales_data[[#This Row],[Discount]]))/100</f>
        <v>19280.166835174201</v>
      </c>
    </row>
    <row r="443" spans="1:15" x14ac:dyDescent="0.5">
      <c r="A443" s="1" t="s">
        <v>188</v>
      </c>
      <c r="B443" s="1" t="s">
        <v>22</v>
      </c>
      <c r="C443">
        <v>15478.4168744779</v>
      </c>
      <c r="D443">
        <v>10</v>
      </c>
      <c r="E443" s="2">
        <v>45209</v>
      </c>
      <c r="F443" s="1">
        <v>152</v>
      </c>
      <c r="G443" s="1">
        <v>69</v>
      </c>
      <c r="H443" s="1" t="s">
        <v>15</v>
      </c>
      <c r="I443" s="1" t="s">
        <v>16</v>
      </c>
      <c r="J443" s="1" t="s">
        <v>24</v>
      </c>
      <c r="K443" s="1" t="s">
        <v>18</v>
      </c>
      <c r="L443" s="5" t="s">
        <v>85</v>
      </c>
      <c r="M443" s="1" t="s">
        <v>27</v>
      </c>
      <c r="N443" s="1" t="str">
        <f>YEAR(sales_data[[#This Row],[Date]]) &amp; "-" &amp; TEXT(MONTH(sales_data[[#This Row],[Date]]), "00")</f>
        <v>2023-10</v>
      </c>
      <c r="O443" s="1">
        <f xml:space="preserve"> (sales_data[[#This Row],[Sales]]* (100 - sales_data[[#This Row],[Discount]]))/100</f>
        <v>13930.57518703011</v>
      </c>
    </row>
    <row r="444" spans="1:15" x14ac:dyDescent="0.5">
      <c r="A444" s="1" t="s">
        <v>354</v>
      </c>
      <c r="B444" s="1" t="s">
        <v>50</v>
      </c>
      <c r="C444">
        <v>18452.267803430001</v>
      </c>
      <c r="D444">
        <v>0</v>
      </c>
      <c r="E444" s="2">
        <v>45210</v>
      </c>
      <c r="F444" s="1">
        <v>132</v>
      </c>
      <c r="G444" s="1">
        <v>50</v>
      </c>
      <c r="H444" s="1" t="s">
        <v>15</v>
      </c>
      <c r="I444" s="1" t="s">
        <v>23</v>
      </c>
      <c r="J444" s="1" t="s">
        <v>24</v>
      </c>
      <c r="K444" s="1" t="s">
        <v>18</v>
      </c>
      <c r="L444" s="5" t="s">
        <v>36</v>
      </c>
      <c r="M444" s="1" t="s">
        <v>44</v>
      </c>
      <c r="N444" s="1" t="str">
        <f>YEAR(sales_data[[#This Row],[Date]]) &amp; "-" &amp; TEXT(MONTH(sales_data[[#This Row],[Date]]), "00")</f>
        <v>2023-10</v>
      </c>
      <c r="O444" s="1">
        <f xml:space="preserve"> (sales_data[[#This Row],[Sales]]* (100 - sales_data[[#This Row],[Discount]]))/100</f>
        <v>18452.267803430001</v>
      </c>
    </row>
    <row r="445" spans="1:15" x14ac:dyDescent="0.5">
      <c r="A445" s="1" t="s">
        <v>270</v>
      </c>
      <c r="B445" s="1" t="s">
        <v>50</v>
      </c>
      <c r="C445">
        <v>19722.076645447702</v>
      </c>
      <c r="D445">
        <v>0</v>
      </c>
      <c r="E445" s="2">
        <v>45211</v>
      </c>
      <c r="F445" s="1">
        <v>167</v>
      </c>
      <c r="G445" s="1">
        <v>10</v>
      </c>
      <c r="H445" s="1" t="s">
        <v>15</v>
      </c>
      <c r="I445" s="1" t="s">
        <v>33</v>
      </c>
      <c r="J445" s="1" t="s">
        <v>17</v>
      </c>
      <c r="K445" s="1" t="s">
        <v>25</v>
      </c>
      <c r="L445" s="5" t="s">
        <v>54</v>
      </c>
      <c r="M445" s="1" t="s">
        <v>48</v>
      </c>
      <c r="N445" s="1" t="str">
        <f>YEAR(sales_data[[#This Row],[Date]]) &amp; "-" &amp; TEXT(MONTH(sales_data[[#This Row],[Date]]), "00")</f>
        <v>2023-10</v>
      </c>
      <c r="O445" s="1">
        <f xml:space="preserve"> (sales_data[[#This Row],[Sales]]* (100 - sales_data[[#This Row],[Discount]]))/100</f>
        <v>19722.076645447702</v>
      </c>
    </row>
    <row r="446" spans="1:15" x14ac:dyDescent="0.5">
      <c r="A446" s="1" t="s">
        <v>363</v>
      </c>
      <c r="B446" s="1" t="s">
        <v>14</v>
      </c>
      <c r="C446">
        <v>12216.8541323804</v>
      </c>
      <c r="D446">
        <v>0</v>
      </c>
      <c r="E446" s="2">
        <v>45211</v>
      </c>
      <c r="F446" s="1">
        <v>150</v>
      </c>
      <c r="G446" s="1">
        <v>48</v>
      </c>
      <c r="H446" s="1" t="s">
        <v>38</v>
      </c>
      <c r="I446" s="1" t="s">
        <v>33</v>
      </c>
      <c r="J446" s="1" t="s">
        <v>24</v>
      </c>
      <c r="K446" s="1" t="s">
        <v>25</v>
      </c>
      <c r="L446" s="5" t="s">
        <v>36</v>
      </c>
      <c r="M446" s="1" t="s">
        <v>55</v>
      </c>
      <c r="N446" s="1" t="str">
        <f>YEAR(sales_data[[#This Row],[Date]]) &amp; "-" &amp; TEXT(MONTH(sales_data[[#This Row],[Date]]), "00")</f>
        <v>2023-10</v>
      </c>
      <c r="O446" s="1">
        <f xml:space="preserve"> (sales_data[[#This Row],[Sales]]* (100 - sales_data[[#This Row],[Discount]]))/100</f>
        <v>12216.8541323804</v>
      </c>
    </row>
    <row r="447" spans="1:15" x14ac:dyDescent="0.5">
      <c r="A447" s="1" t="s">
        <v>780</v>
      </c>
      <c r="B447" s="1" t="s">
        <v>14</v>
      </c>
      <c r="C447">
        <v>25935.1515278019</v>
      </c>
      <c r="D447">
        <v>10</v>
      </c>
      <c r="E447" s="2">
        <v>45212</v>
      </c>
      <c r="F447" s="1">
        <v>148</v>
      </c>
      <c r="G447" s="1">
        <v>12</v>
      </c>
      <c r="H447" s="1" t="s">
        <v>15</v>
      </c>
      <c r="I447" s="1" t="s">
        <v>33</v>
      </c>
      <c r="J447" s="1" t="s">
        <v>34</v>
      </c>
      <c r="K447" s="1" t="s">
        <v>18</v>
      </c>
      <c r="L447" s="5" t="s">
        <v>36</v>
      </c>
      <c r="M447" s="1" t="s">
        <v>41</v>
      </c>
      <c r="N447" s="1" t="str">
        <f>YEAR(sales_data[[#This Row],[Date]]) &amp; "-" &amp; TEXT(MONTH(sales_data[[#This Row],[Date]]), "00")</f>
        <v>2023-10</v>
      </c>
      <c r="O447" s="1">
        <f xml:space="preserve"> (sales_data[[#This Row],[Sales]]* (100 - sales_data[[#This Row],[Discount]]))/100</f>
        <v>23341.63637502171</v>
      </c>
    </row>
    <row r="448" spans="1:15" x14ac:dyDescent="0.5">
      <c r="A448" s="1" t="s">
        <v>637</v>
      </c>
      <c r="B448" s="1" t="s">
        <v>29</v>
      </c>
      <c r="C448">
        <v>12080.4858825713</v>
      </c>
      <c r="D448">
        <v>10</v>
      </c>
      <c r="E448" s="2">
        <v>45214</v>
      </c>
      <c r="F448" s="1">
        <v>133</v>
      </c>
      <c r="G448" s="1">
        <v>96</v>
      </c>
      <c r="H448" s="1" t="s">
        <v>15</v>
      </c>
      <c r="I448" s="1" t="s">
        <v>23</v>
      </c>
      <c r="J448" s="1" t="s">
        <v>17</v>
      </c>
      <c r="K448" s="1" t="s">
        <v>18</v>
      </c>
      <c r="L448" s="5" t="s">
        <v>38</v>
      </c>
      <c r="M448" s="1" t="s">
        <v>41</v>
      </c>
      <c r="N448" s="1" t="str">
        <f>YEAR(sales_data[[#This Row],[Date]]) &amp; "-" &amp; TEXT(MONTH(sales_data[[#This Row],[Date]]), "00")</f>
        <v>2023-10</v>
      </c>
      <c r="O448" s="1">
        <f xml:space="preserve"> (sales_data[[#This Row],[Sales]]* (100 - sales_data[[#This Row],[Discount]]))/100</f>
        <v>10872.437294314172</v>
      </c>
    </row>
    <row r="449" spans="1:15" x14ac:dyDescent="0.5">
      <c r="A449" s="1" t="s">
        <v>822</v>
      </c>
      <c r="B449" s="1" t="s">
        <v>22</v>
      </c>
      <c r="C449">
        <v>11773.006265215499</v>
      </c>
      <c r="D449">
        <v>5</v>
      </c>
      <c r="E449" s="2">
        <v>45214</v>
      </c>
      <c r="F449" s="1">
        <v>192</v>
      </c>
      <c r="G449" s="1">
        <v>25</v>
      </c>
      <c r="H449" s="1" t="s">
        <v>15</v>
      </c>
      <c r="I449" s="1" t="s">
        <v>33</v>
      </c>
      <c r="J449" s="1" t="s">
        <v>34</v>
      </c>
      <c r="K449" s="1" t="s">
        <v>25</v>
      </c>
      <c r="L449" s="5" t="s">
        <v>85</v>
      </c>
      <c r="M449" s="1" t="s">
        <v>31</v>
      </c>
      <c r="N449" s="1" t="str">
        <f>YEAR(sales_data[[#This Row],[Date]]) &amp; "-" &amp; TEXT(MONTH(sales_data[[#This Row],[Date]]), "00")</f>
        <v>2023-10</v>
      </c>
      <c r="O449" s="1">
        <f xml:space="preserve"> (sales_data[[#This Row],[Sales]]* (100 - sales_data[[#This Row],[Discount]]))/100</f>
        <v>11184.355951954725</v>
      </c>
    </row>
    <row r="450" spans="1:15" x14ac:dyDescent="0.5">
      <c r="A450" s="1" t="s">
        <v>315</v>
      </c>
      <c r="B450" s="1" t="s">
        <v>50</v>
      </c>
      <c r="C450">
        <v>20069.646459564701</v>
      </c>
      <c r="D450">
        <v>5</v>
      </c>
      <c r="E450" s="2">
        <v>45215</v>
      </c>
      <c r="F450" s="1">
        <v>123</v>
      </c>
      <c r="G450" s="1">
        <v>38</v>
      </c>
      <c r="H450" s="1" t="s">
        <v>15</v>
      </c>
      <c r="I450" s="1" t="s">
        <v>33</v>
      </c>
      <c r="J450" s="1" t="s">
        <v>34</v>
      </c>
      <c r="K450" s="1" t="s">
        <v>25</v>
      </c>
      <c r="L450" s="5" t="s">
        <v>43</v>
      </c>
      <c r="M450" s="1" t="s">
        <v>48</v>
      </c>
      <c r="N450" s="1" t="str">
        <f>YEAR(sales_data[[#This Row],[Date]]) &amp; "-" &amp; TEXT(MONTH(sales_data[[#This Row],[Date]]), "00")</f>
        <v>2023-10</v>
      </c>
      <c r="O450" s="1">
        <f xml:space="preserve"> (sales_data[[#This Row],[Sales]]* (100 - sales_data[[#This Row],[Discount]]))/100</f>
        <v>19066.164136586467</v>
      </c>
    </row>
    <row r="451" spans="1:15" x14ac:dyDescent="0.5">
      <c r="A451" s="1" t="s">
        <v>592</v>
      </c>
      <c r="B451" s="1" t="s">
        <v>22</v>
      </c>
      <c r="C451">
        <v>9005.97021689959</v>
      </c>
      <c r="D451">
        <v>0</v>
      </c>
      <c r="E451" s="2">
        <v>45215</v>
      </c>
      <c r="F451" s="1">
        <v>112</v>
      </c>
      <c r="G451" s="1">
        <v>3</v>
      </c>
      <c r="H451" s="1" t="s">
        <v>15</v>
      </c>
      <c r="I451" s="1" t="s">
        <v>16</v>
      </c>
      <c r="J451" s="1" t="s">
        <v>17</v>
      </c>
      <c r="K451" s="1" t="s">
        <v>18</v>
      </c>
      <c r="L451" s="5" t="s">
        <v>43</v>
      </c>
      <c r="M451" s="1" t="s">
        <v>31</v>
      </c>
      <c r="N451" s="1" t="str">
        <f>YEAR(sales_data[[#This Row],[Date]]) &amp; "-" &amp; TEXT(MONTH(sales_data[[#This Row],[Date]]), "00")</f>
        <v>2023-10</v>
      </c>
      <c r="O451" s="1">
        <f xml:space="preserve"> (sales_data[[#This Row],[Sales]]* (100 - sales_data[[#This Row],[Discount]]))/100</f>
        <v>9005.97021689959</v>
      </c>
    </row>
    <row r="452" spans="1:15" x14ac:dyDescent="0.5">
      <c r="A452" s="1" t="s">
        <v>712</v>
      </c>
      <c r="B452" s="1" t="s">
        <v>22</v>
      </c>
      <c r="C452">
        <v>21303.368829119499</v>
      </c>
      <c r="D452">
        <v>5</v>
      </c>
      <c r="E452" s="2">
        <v>45215</v>
      </c>
      <c r="F452" s="1">
        <v>154</v>
      </c>
      <c r="G452" s="1">
        <v>90</v>
      </c>
      <c r="H452" s="1" t="s">
        <v>15</v>
      </c>
      <c r="I452" s="1" t="s">
        <v>16</v>
      </c>
      <c r="J452" s="1" t="s">
        <v>24</v>
      </c>
      <c r="K452" s="1" t="s">
        <v>18</v>
      </c>
      <c r="L452" s="5" t="s">
        <v>30</v>
      </c>
      <c r="M452" s="1" t="s">
        <v>48</v>
      </c>
      <c r="N452" s="1" t="str">
        <f>YEAR(sales_data[[#This Row],[Date]]) &amp; "-" &amp; TEXT(MONTH(sales_data[[#This Row],[Date]]), "00")</f>
        <v>2023-10</v>
      </c>
      <c r="O452" s="1">
        <f xml:space="preserve"> (sales_data[[#This Row],[Sales]]* (100 - sales_data[[#This Row],[Discount]]))/100</f>
        <v>20238.200387663524</v>
      </c>
    </row>
    <row r="453" spans="1:15" x14ac:dyDescent="0.5">
      <c r="A453" s="1" t="s">
        <v>407</v>
      </c>
      <c r="B453" s="1" t="s">
        <v>29</v>
      </c>
      <c r="C453">
        <v>16942.410985040198</v>
      </c>
      <c r="D453">
        <v>5</v>
      </c>
      <c r="E453" s="2">
        <v>45216</v>
      </c>
      <c r="F453" s="1">
        <v>165</v>
      </c>
      <c r="G453" s="1">
        <v>11</v>
      </c>
      <c r="H453" s="1" t="s">
        <v>15</v>
      </c>
      <c r="I453" s="1" t="s">
        <v>33</v>
      </c>
      <c r="J453" s="1" t="s">
        <v>17</v>
      </c>
      <c r="K453" s="1" t="s">
        <v>35</v>
      </c>
      <c r="L453" s="5" t="s">
        <v>30</v>
      </c>
      <c r="M453" s="1" t="s">
        <v>55</v>
      </c>
      <c r="N453" s="1" t="str">
        <f>YEAR(sales_data[[#This Row],[Date]]) &amp; "-" &amp; TEXT(MONTH(sales_data[[#This Row],[Date]]), "00")</f>
        <v>2023-10</v>
      </c>
      <c r="O453" s="1">
        <f xml:space="preserve"> (sales_data[[#This Row],[Sales]]* (100 - sales_data[[#This Row],[Discount]]))/100</f>
        <v>16095.290435788189</v>
      </c>
    </row>
    <row r="454" spans="1:15" x14ac:dyDescent="0.5">
      <c r="A454" s="1" t="s">
        <v>661</v>
      </c>
      <c r="B454" s="1" t="s">
        <v>29</v>
      </c>
      <c r="C454">
        <v>20298.151849600799</v>
      </c>
      <c r="D454">
        <v>0</v>
      </c>
      <c r="E454" s="2">
        <v>45216</v>
      </c>
      <c r="F454" s="1">
        <v>152</v>
      </c>
      <c r="G454" s="1">
        <v>99</v>
      </c>
      <c r="H454" s="1" t="s">
        <v>15</v>
      </c>
      <c r="I454" s="1" t="s">
        <v>33</v>
      </c>
      <c r="J454" s="1" t="s">
        <v>17</v>
      </c>
      <c r="K454" s="1" t="s">
        <v>18</v>
      </c>
      <c r="L454" s="5" t="s">
        <v>54</v>
      </c>
      <c r="M454" s="1" t="s">
        <v>31</v>
      </c>
      <c r="N454" s="1" t="str">
        <f>YEAR(sales_data[[#This Row],[Date]]) &amp; "-" &amp; TEXT(MONTH(sales_data[[#This Row],[Date]]), "00")</f>
        <v>2023-10</v>
      </c>
      <c r="O454" s="1">
        <f xml:space="preserve"> (sales_data[[#This Row],[Sales]]* (100 - sales_data[[#This Row],[Discount]]))/100</f>
        <v>20298.151849600799</v>
      </c>
    </row>
    <row r="455" spans="1:15" x14ac:dyDescent="0.5">
      <c r="A455" s="1" t="s">
        <v>1021</v>
      </c>
      <c r="B455" s="1" t="s">
        <v>22</v>
      </c>
      <c r="C455">
        <v>20597.9018420707</v>
      </c>
      <c r="D455">
        <v>10</v>
      </c>
      <c r="E455" s="2">
        <v>45217</v>
      </c>
      <c r="F455" s="1">
        <v>150</v>
      </c>
      <c r="G455" s="1">
        <v>64</v>
      </c>
      <c r="H455" s="1" t="s">
        <v>15</v>
      </c>
      <c r="I455" s="1" t="s">
        <v>23</v>
      </c>
      <c r="J455" s="1" t="s">
        <v>34</v>
      </c>
      <c r="K455" s="1" t="s">
        <v>25</v>
      </c>
      <c r="L455" s="5" t="s">
        <v>46</v>
      </c>
      <c r="M455" s="1" t="s">
        <v>20</v>
      </c>
      <c r="N455" s="1" t="str">
        <f>YEAR(sales_data[[#This Row],[Date]]) &amp; "-" &amp; TEXT(MONTH(sales_data[[#This Row],[Date]]), "00")</f>
        <v>2023-10</v>
      </c>
      <c r="O455" s="1">
        <f xml:space="preserve"> (sales_data[[#This Row],[Sales]]* (100 - sales_data[[#This Row],[Discount]]))/100</f>
        <v>18538.111657863628</v>
      </c>
    </row>
    <row r="456" spans="1:15" x14ac:dyDescent="0.5">
      <c r="A456" s="1" t="s">
        <v>590</v>
      </c>
      <c r="B456" s="1" t="s">
        <v>22</v>
      </c>
      <c r="C456">
        <v>29405.785347202898</v>
      </c>
      <c r="D456">
        <v>15</v>
      </c>
      <c r="E456" s="2">
        <v>45218</v>
      </c>
      <c r="F456" s="1">
        <v>184</v>
      </c>
      <c r="G456" s="1">
        <v>45</v>
      </c>
      <c r="H456" s="1" t="s">
        <v>15</v>
      </c>
      <c r="I456" s="1" t="s">
        <v>23</v>
      </c>
      <c r="J456" s="1" t="s">
        <v>24</v>
      </c>
      <c r="K456" s="1" t="s">
        <v>25</v>
      </c>
      <c r="L456" s="5" t="s">
        <v>54</v>
      </c>
      <c r="M456" s="1" t="s">
        <v>48</v>
      </c>
      <c r="N456" s="1" t="str">
        <f>YEAR(sales_data[[#This Row],[Date]]) &amp; "-" &amp; TEXT(MONTH(sales_data[[#This Row],[Date]]), "00")</f>
        <v>2023-10</v>
      </c>
      <c r="O456" s="1">
        <f xml:space="preserve"> (sales_data[[#This Row],[Sales]]* (100 - sales_data[[#This Row],[Discount]]))/100</f>
        <v>24994.917545122462</v>
      </c>
    </row>
    <row r="457" spans="1:15" x14ac:dyDescent="0.5">
      <c r="A457" s="1" t="s">
        <v>827</v>
      </c>
      <c r="B457" s="1" t="s">
        <v>22</v>
      </c>
      <c r="C457">
        <v>22973.7717083264</v>
      </c>
      <c r="D457">
        <v>15</v>
      </c>
      <c r="E457" s="2">
        <v>45218</v>
      </c>
      <c r="F457" s="1">
        <v>174</v>
      </c>
      <c r="G457" s="1">
        <v>43</v>
      </c>
      <c r="H457" s="1" t="s">
        <v>15</v>
      </c>
      <c r="I457" s="1" t="s">
        <v>23</v>
      </c>
      <c r="J457" s="1" t="s">
        <v>17</v>
      </c>
      <c r="K457" s="1" t="s">
        <v>25</v>
      </c>
      <c r="L457" s="5" t="s">
        <v>36</v>
      </c>
      <c r="M457" s="1" t="s">
        <v>41</v>
      </c>
      <c r="N457" s="1" t="str">
        <f>YEAR(sales_data[[#This Row],[Date]]) &amp; "-" &amp; TEXT(MONTH(sales_data[[#This Row],[Date]]), "00")</f>
        <v>2023-10</v>
      </c>
      <c r="O457" s="1">
        <f xml:space="preserve"> (sales_data[[#This Row],[Sales]]* (100 - sales_data[[#This Row],[Discount]]))/100</f>
        <v>19527.705952077442</v>
      </c>
    </row>
    <row r="458" spans="1:15" x14ac:dyDescent="0.5">
      <c r="A458" s="1" t="s">
        <v>148</v>
      </c>
      <c r="B458" s="1" t="s">
        <v>22</v>
      </c>
      <c r="C458">
        <v>24408.198784747201</v>
      </c>
      <c r="D458">
        <v>5</v>
      </c>
      <c r="E458" s="2">
        <v>45220</v>
      </c>
      <c r="F458" s="1">
        <v>172</v>
      </c>
      <c r="G458" s="1">
        <v>20</v>
      </c>
      <c r="H458" s="1" t="s">
        <v>15</v>
      </c>
      <c r="I458" s="1" t="s">
        <v>16</v>
      </c>
      <c r="J458" s="1" t="s">
        <v>34</v>
      </c>
      <c r="K458" s="1" t="s">
        <v>35</v>
      </c>
      <c r="L458" s="5" t="s">
        <v>36</v>
      </c>
      <c r="M458" s="1" t="s">
        <v>31</v>
      </c>
      <c r="N458" s="1" t="str">
        <f>YEAR(sales_data[[#This Row],[Date]]) &amp; "-" &amp; TEXT(MONTH(sales_data[[#This Row],[Date]]), "00")</f>
        <v>2023-10</v>
      </c>
      <c r="O458" s="1">
        <f xml:space="preserve"> (sales_data[[#This Row],[Sales]]* (100 - sales_data[[#This Row],[Discount]]))/100</f>
        <v>23187.78884550984</v>
      </c>
    </row>
    <row r="459" spans="1:15" x14ac:dyDescent="0.5">
      <c r="A459" s="1" t="s">
        <v>918</v>
      </c>
      <c r="B459" s="1" t="s">
        <v>29</v>
      </c>
      <c r="C459">
        <v>19721.154611711401</v>
      </c>
      <c r="D459">
        <v>5</v>
      </c>
      <c r="E459" s="2">
        <v>45221</v>
      </c>
      <c r="F459" s="1">
        <v>134</v>
      </c>
      <c r="G459" s="1">
        <v>75</v>
      </c>
      <c r="H459" s="1" t="s">
        <v>15</v>
      </c>
      <c r="I459" s="1" t="s">
        <v>33</v>
      </c>
      <c r="J459" s="1" t="s">
        <v>24</v>
      </c>
      <c r="K459" s="1" t="s">
        <v>18</v>
      </c>
      <c r="L459" s="5" t="s">
        <v>46</v>
      </c>
      <c r="M459" s="1" t="s">
        <v>48</v>
      </c>
      <c r="N459" s="1" t="str">
        <f>YEAR(sales_data[[#This Row],[Date]]) &amp; "-" &amp; TEXT(MONTH(sales_data[[#This Row],[Date]]), "00")</f>
        <v>2023-10</v>
      </c>
      <c r="O459" s="1">
        <f xml:space="preserve"> (sales_data[[#This Row],[Sales]]* (100 - sales_data[[#This Row],[Discount]]))/100</f>
        <v>18735.096881125832</v>
      </c>
    </row>
    <row r="460" spans="1:15" x14ac:dyDescent="0.5">
      <c r="A460" s="1" t="s">
        <v>484</v>
      </c>
      <c r="B460" s="1" t="s">
        <v>14</v>
      </c>
      <c r="C460">
        <v>27266.922385588499</v>
      </c>
      <c r="D460">
        <v>15</v>
      </c>
      <c r="E460" s="2">
        <v>45222</v>
      </c>
      <c r="F460" s="1">
        <v>152</v>
      </c>
      <c r="G460" s="1">
        <v>57</v>
      </c>
      <c r="H460" s="1" t="s">
        <v>15</v>
      </c>
      <c r="I460" s="1" t="s">
        <v>16</v>
      </c>
      <c r="J460" s="1" t="s">
        <v>17</v>
      </c>
      <c r="K460" s="1" t="s">
        <v>35</v>
      </c>
      <c r="L460" s="5" t="s">
        <v>58</v>
      </c>
      <c r="M460" s="1" t="s">
        <v>20</v>
      </c>
      <c r="N460" s="1" t="str">
        <f>YEAR(sales_data[[#This Row],[Date]]) &amp; "-" &amp; TEXT(MONTH(sales_data[[#This Row],[Date]]), "00")</f>
        <v>2023-10</v>
      </c>
      <c r="O460" s="1">
        <f xml:space="preserve"> (sales_data[[#This Row],[Sales]]* (100 - sales_data[[#This Row],[Discount]]))/100</f>
        <v>23176.884027750228</v>
      </c>
    </row>
    <row r="461" spans="1:15" x14ac:dyDescent="0.5">
      <c r="A461" s="1" t="s">
        <v>729</v>
      </c>
      <c r="B461" s="1" t="s">
        <v>29</v>
      </c>
      <c r="C461">
        <v>19765.397105603999</v>
      </c>
      <c r="D461">
        <v>10</v>
      </c>
      <c r="E461" s="2">
        <v>45222</v>
      </c>
      <c r="F461" s="1">
        <v>196</v>
      </c>
      <c r="G461" s="1">
        <v>21</v>
      </c>
      <c r="H461" s="1" t="s">
        <v>15</v>
      </c>
      <c r="I461" s="1" t="s">
        <v>23</v>
      </c>
      <c r="J461" s="1" t="s">
        <v>17</v>
      </c>
      <c r="K461" s="1" t="s">
        <v>25</v>
      </c>
      <c r="L461" s="5" t="s">
        <v>26</v>
      </c>
      <c r="M461" s="1" t="s">
        <v>20</v>
      </c>
      <c r="N461" s="1" t="str">
        <f>YEAR(sales_data[[#This Row],[Date]]) &amp; "-" &amp; TEXT(MONTH(sales_data[[#This Row],[Date]]), "00")</f>
        <v>2023-10</v>
      </c>
      <c r="O461" s="1">
        <f xml:space="preserve"> (sales_data[[#This Row],[Sales]]* (100 - sales_data[[#This Row],[Discount]]))/100</f>
        <v>17788.8573950436</v>
      </c>
    </row>
    <row r="462" spans="1:15" x14ac:dyDescent="0.5">
      <c r="A462" s="1" t="s">
        <v>298</v>
      </c>
      <c r="B462" s="1" t="s">
        <v>29</v>
      </c>
      <c r="C462">
        <v>13524.6061396819</v>
      </c>
      <c r="D462">
        <v>10</v>
      </c>
      <c r="E462" s="2">
        <v>45223</v>
      </c>
      <c r="F462" s="1">
        <v>143</v>
      </c>
      <c r="G462" s="1">
        <v>65</v>
      </c>
      <c r="H462" s="1" t="s">
        <v>15</v>
      </c>
      <c r="I462" s="1" t="s">
        <v>33</v>
      </c>
      <c r="J462" s="1" t="s">
        <v>24</v>
      </c>
      <c r="K462" s="1" t="s">
        <v>18</v>
      </c>
      <c r="L462" s="5" t="s">
        <v>30</v>
      </c>
      <c r="M462" s="1" t="s">
        <v>27</v>
      </c>
      <c r="N462" s="1" t="str">
        <f>YEAR(sales_data[[#This Row],[Date]]) &amp; "-" &amp; TEXT(MONTH(sales_data[[#This Row],[Date]]), "00")</f>
        <v>2023-10</v>
      </c>
      <c r="O462" s="1">
        <f xml:space="preserve"> (sales_data[[#This Row],[Sales]]* (100 - sales_data[[#This Row],[Discount]]))/100</f>
        <v>12172.14552571371</v>
      </c>
    </row>
    <row r="463" spans="1:15" x14ac:dyDescent="0.5">
      <c r="A463" s="1" t="s">
        <v>361</v>
      </c>
      <c r="B463" s="1" t="s">
        <v>14</v>
      </c>
      <c r="C463">
        <v>16478.281547286198</v>
      </c>
      <c r="D463">
        <v>15</v>
      </c>
      <c r="E463" s="2">
        <v>45223</v>
      </c>
      <c r="F463" s="1">
        <v>163</v>
      </c>
      <c r="G463" s="1">
        <v>82</v>
      </c>
      <c r="H463" s="1" t="s">
        <v>15</v>
      </c>
      <c r="I463" s="1" t="s">
        <v>16</v>
      </c>
      <c r="J463" s="1" t="s">
        <v>24</v>
      </c>
      <c r="K463" s="1" t="s">
        <v>18</v>
      </c>
      <c r="L463" s="5" t="s">
        <v>46</v>
      </c>
      <c r="M463" s="1" t="s">
        <v>31</v>
      </c>
      <c r="N463" s="1" t="str">
        <f>YEAR(sales_data[[#This Row],[Date]]) &amp; "-" &amp; TEXT(MONTH(sales_data[[#This Row],[Date]]), "00")</f>
        <v>2023-10</v>
      </c>
      <c r="O463" s="1">
        <f xml:space="preserve"> (sales_data[[#This Row],[Sales]]* (100 - sales_data[[#This Row],[Discount]]))/100</f>
        <v>14006.539315193268</v>
      </c>
    </row>
    <row r="464" spans="1:15" x14ac:dyDescent="0.5">
      <c r="A464" s="1" t="s">
        <v>59</v>
      </c>
      <c r="B464" s="1" t="s">
        <v>40</v>
      </c>
      <c r="C464">
        <v>0</v>
      </c>
      <c r="D464">
        <v>0</v>
      </c>
      <c r="E464" s="2">
        <v>45224</v>
      </c>
      <c r="F464" s="1">
        <v>161</v>
      </c>
      <c r="G464" s="1">
        <v>81</v>
      </c>
      <c r="H464" s="1" t="s">
        <v>15</v>
      </c>
      <c r="I464" s="1" t="s">
        <v>23</v>
      </c>
      <c r="J464" s="1" t="s">
        <v>34</v>
      </c>
      <c r="K464" s="1" t="s">
        <v>25</v>
      </c>
      <c r="L464" s="5" t="s">
        <v>46</v>
      </c>
      <c r="M464" s="1" t="s">
        <v>44</v>
      </c>
      <c r="N464" s="1" t="str">
        <f>YEAR(sales_data[[#This Row],[Date]]) &amp; "-" &amp; TEXT(MONTH(sales_data[[#This Row],[Date]]), "00")</f>
        <v>2023-10</v>
      </c>
      <c r="O464" s="1">
        <f xml:space="preserve"> (sales_data[[#This Row],[Sales]]* (100 - sales_data[[#This Row],[Discount]]))/100</f>
        <v>0</v>
      </c>
    </row>
    <row r="465" spans="1:15" x14ac:dyDescent="0.5">
      <c r="A465" s="1" t="s">
        <v>659</v>
      </c>
      <c r="B465" s="1" t="s">
        <v>50</v>
      </c>
      <c r="C465">
        <v>26996.77718293</v>
      </c>
      <c r="D465">
        <v>10</v>
      </c>
      <c r="E465" s="2">
        <v>45224</v>
      </c>
      <c r="F465" s="1">
        <v>153</v>
      </c>
      <c r="G465" s="1">
        <v>58</v>
      </c>
      <c r="H465" s="1" t="s">
        <v>15</v>
      </c>
      <c r="I465" s="1" t="s">
        <v>16</v>
      </c>
      <c r="J465" s="1" t="s">
        <v>17</v>
      </c>
      <c r="K465" s="1" t="s">
        <v>35</v>
      </c>
      <c r="L465" s="5" t="s">
        <v>54</v>
      </c>
      <c r="M465" s="1" t="s">
        <v>20</v>
      </c>
      <c r="N465" s="1" t="str">
        <f>YEAR(sales_data[[#This Row],[Date]]) &amp; "-" &amp; TEXT(MONTH(sales_data[[#This Row],[Date]]), "00")</f>
        <v>2023-10</v>
      </c>
      <c r="O465" s="1">
        <f xml:space="preserve"> (sales_data[[#This Row],[Sales]]* (100 - sales_data[[#This Row],[Discount]]))/100</f>
        <v>24297.099464636998</v>
      </c>
    </row>
    <row r="466" spans="1:15" x14ac:dyDescent="0.5">
      <c r="A466" s="1" t="s">
        <v>437</v>
      </c>
      <c r="B466" s="1" t="s">
        <v>22</v>
      </c>
      <c r="C466">
        <v>19627.832854499698</v>
      </c>
      <c r="D466">
        <v>10</v>
      </c>
      <c r="E466" s="2">
        <v>45225</v>
      </c>
      <c r="F466" s="1">
        <v>135</v>
      </c>
      <c r="G466" s="1">
        <v>83</v>
      </c>
      <c r="H466" s="1" t="s">
        <v>15</v>
      </c>
      <c r="I466" s="1" t="s">
        <v>33</v>
      </c>
      <c r="J466" s="1" t="s">
        <v>17</v>
      </c>
      <c r="K466" s="1" t="s">
        <v>25</v>
      </c>
      <c r="L466" s="5" t="s">
        <v>19</v>
      </c>
      <c r="M466" s="1" t="s">
        <v>55</v>
      </c>
      <c r="N466" s="1" t="str">
        <f>YEAR(sales_data[[#This Row],[Date]]) &amp; "-" &amp; TEXT(MONTH(sales_data[[#This Row],[Date]]), "00")</f>
        <v>2023-10</v>
      </c>
      <c r="O466" s="1">
        <f xml:space="preserve"> (sales_data[[#This Row],[Sales]]* (100 - sales_data[[#This Row],[Discount]]))/100</f>
        <v>17665.04956904973</v>
      </c>
    </row>
    <row r="467" spans="1:15" x14ac:dyDescent="0.5">
      <c r="A467" s="1" t="s">
        <v>139</v>
      </c>
      <c r="B467" s="1" t="s">
        <v>50</v>
      </c>
      <c r="C467">
        <v>19360.412042596101</v>
      </c>
      <c r="D467">
        <v>15</v>
      </c>
      <c r="E467" s="2">
        <v>45226</v>
      </c>
      <c r="F467" s="1">
        <v>173</v>
      </c>
      <c r="G467" s="1">
        <v>64</v>
      </c>
      <c r="H467" s="1" t="s">
        <v>15</v>
      </c>
      <c r="I467" s="1" t="s">
        <v>16</v>
      </c>
      <c r="J467" s="1" t="s">
        <v>17</v>
      </c>
      <c r="K467" s="1" t="s">
        <v>25</v>
      </c>
      <c r="L467" s="5" t="s">
        <v>54</v>
      </c>
      <c r="M467" s="1" t="s">
        <v>20</v>
      </c>
      <c r="N467" s="1" t="str">
        <f>YEAR(sales_data[[#This Row],[Date]]) &amp; "-" &amp; TEXT(MONTH(sales_data[[#This Row],[Date]]), "00")</f>
        <v>2023-10</v>
      </c>
      <c r="O467" s="1">
        <f xml:space="preserve"> (sales_data[[#This Row],[Sales]]* (100 - sales_data[[#This Row],[Discount]]))/100</f>
        <v>16456.350236206687</v>
      </c>
    </row>
    <row r="468" spans="1:15" x14ac:dyDescent="0.5">
      <c r="A468" s="1" t="s">
        <v>657</v>
      </c>
      <c r="B468" s="1" t="s">
        <v>22</v>
      </c>
      <c r="C468">
        <v>17144.105051086</v>
      </c>
      <c r="D468">
        <v>0</v>
      </c>
      <c r="E468" s="2">
        <v>45226</v>
      </c>
      <c r="F468" s="1">
        <v>156</v>
      </c>
      <c r="G468" s="1">
        <v>39</v>
      </c>
      <c r="H468" s="1" t="s">
        <v>15</v>
      </c>
      <c r="I468" s="1" t="s">
        <v>23</v>
      </c>
      <c r="J468" s="1" t="s">
        <v>24</v>
      </c>
      <c r="K468" s="1" t="s">
        <v>35</v>
      </c>
      <c r="L468" s="5" t="s">
        <v>43</v>
      </c>
      <c r="M468" s="1" t="s">
        <v>48</v>
      </c>
      <c r="N468" s="1" t="str">
        <f>YEAR(sales_data[[#This Row],[Date]]) &amp; "-" &amp; TEXT(MONTH(sales_data[[#This Row],[Date]]), "00")</f>
        <v>2023-10</v>
      </c>
      <c r="O468" s="1">
        <f xml:space="preserve"> (sales_data[[#This Row],[Sales]]* (100 - sales_data[[#This Row],[Discount]]))/100</f>
        <v>17144.105051086</v>
      </c>
    </row>
    <row r="469" spans="1:15" x14ac:dyDescent="0.5">
      <c r="A469" s="1" t="s">
        <v>666</v>
      </c>
      <c r="B469" s="1" t="s">
        <v>50</v>
      </c>
      <c r="C469">
        <v>23175.8590084098</v>
      </c>
      <c r="D469">
        <v>5</v>
      </c>
      <c r="E469" s="2">
        <v>45226</v>
      </c>
      <c r="F469" s="1">
        <v>145</v>
      </c>
      <c r="G469" s="1">
        <v>59</v>
      </c>
      <c r="H469" s="1" t="s">
        <v>15</v>
      </c>
      <c r="I469" s="1" t="s">
        <v>23</v>
      </c>
      <c r="J469" s="1" t="s">
        <v>34</v>
      </c>
      <c r="K469" s="1" t="s">
        <v>25</v>
      </c>
      <c r="L469" s="5" t="s">
        <v>46</v>
      </c>
      <c r="M469" s="1" t="s">
        <v>55</v>
      </c>
      <c r="N469" s="1" t="str">
        <f>YEAR(sales_data[[#This Row],[Date]]) &amp; "-" &amp; TEXT(MONTH(sales_data[[#This Row],[Date]]), "00")</f>
        <v>2023-10</v>
      </c>
      <c r="O469" s="1">
        <f xml:space="preserve"> (sales_data[[#This Row],[Sales]]* (100 - sales_data[[#This Row],[Discount]]))/100</f>
        <v>22017.066057989308</v>
      </c>
    </row>
    <row r="470" spans="1:15" x14ac:dyDescent="0.5">
      <c r="A470" s="1" t="s">
        <v>248</v>
      </c>
      <c r="B470" s="1" t="s">
        <v>29</v>
      </c>
      <c r="C470">
        <v>15719.5808704556</v>
      </c>
      <c r="D470">
        <v>0</v>
      </c>
      <c r="E470" s="2">
        <v>45229</v>
      </c>
      <c r="F470" s="1">
        <v>158</v>
      </c>
      <c r="G470" s="1">
        <v>43</v>
      </c>
      <c r="H470" s="1" t="s">
        <v>15</v>
      </c>
      <c r="I470" s="1" t="s">
        <v>23</v>
      </c>
      <c r="J470" s="1" t="s">
        <v>24</v>
      </c>
      <c r="K470" s="1" t="s">
        <v>18</v>
      </c>
      <c r="L470" s="5" t="s">
        <v>85</v>
      </c>
      <c r="M470" s="1" t="s">
        <v>44</v>
      </c>
      <c r="N470" s="1" t="str">
        <f>YEAR(sales_data[[#This Row],[Date]]) &amp; "-" &amp; TEXT(MONTH(sales_data[[#This Row],[Date]]), "00")</f>
        <v>2023-10</v>
      </c>
      <c r="O470" s="1">
        <f xml:space="preserve"> (sales_data[[#This Row],[Sales]]* (100 - sales_data[[#This Row],[Discount]]))/100</f>
        <v>15719.580870455602</v>
      </c>
    </row>
    <row r="471" spans="1:15" x14ac:dyDescent="0.5">
      <c r="A471" s="1" t="s">
        <v>419</v>
      </c>
      <c r="B471" s="1" t="s">
        <v>29</v>
      </c>
      <c r="C471">
        <v>17121.810868811099</v>
      </c>
      <c r="D471">
        <v>5</v>
      </c>
      <c r="E471" s="2">
        <v>45229</v>
      </c>
      <c r="F471" s="1">
        <v>125</v>
      </c>
      <c r="G471" s="1">
        <v>79</v>
      </c>
      <c r="H471" s="1" t="s">
        <v>15</v>
      </c>
      <c r="I471" s="1" t="s">
        <v>16</v>
      </c>
      <c r="J471" s="1" t="s">
        <v>24</v>
      </c>
      <c r="K471" s="1" t="s">
        <v>35</v>
      </c>
      <c r="L471" s="5" t="s">
        <v>43</v>
      </c>
      <c r="M471" s="1" t="s">
        <v>41</v>
      </c>
      <c r="N471" s="1" t="str">
        <f>YEAR(sales_data[[#This Row],[Date]]) &amp; "-" &amp; TEXT(MONTH(sales_data[[#This Row],[Date]]), "00")</f>
        <v>2023-10</v>
      </c>
      <c r="O471" s="1">
        <f xml:space="preserve"> (sales_data[[#This Row],[Sales]]* (100 - sales_data[[#This Row],[Discount]]))/100</f>
        <v>16265.720325370543</v>
      </c>
    </row>
    <row r="472" spans="1:15" x14ac:dyDescent="0.5">
      <c r="A472" s="1" t="s">
        <v>427</v>
      </c>
      <c r="B472" s="1" t="s">
        <v>22</v>
      </c>
      <c r="C472">
        <v>16865.164711061101</v>
      </c>
      <c r="D472">
        <v>10</v>
      </c>
      <c r="E472" s="2">
        <v>45229</v>
      </c>
      <c r="F472" s="1">
        <v>136</v>
      </c>
      <c r="G472" s="1">
        <v>85</v>
      </c>
      <c r="H472" s="1" t="s">
        <v>15</v>
      </c>
      <c r="I472" s="1" t="s">
        <v>33</v>
      </c>
      <c r="J472" s="1" t="s">
        <v>34</v>
      </c>
      <c r="K472" s="1" t="s">
        <v>25</v>
      </c>
      <c r="L472" s="5" t="s">
        <v>46</v>
      </c>
      <c r="M472" s="1" t="s">
        <v>27</v>
      </c>
      <c r="N472" s="1" t="str">
        <f>YEAR(sales_data[[#This Row],[Date]]) &amp; "-" &amp; TEXT(MONTH(sales_data[[#This Row],[Date]]), "00")</f>
        <v>2023-10</v>
      </c>
      <c r="O472" s="1">
        <f xml:space="preserve"> (sales_data[[#This Row],[Sales]]* (100 - sales_data[[#This Row],[Discount]]))/100</f>
        <v>15178.648239954991</v>
      </c>
    </row>
    <row r="473" spans="1:15" x14ac:dyDescent="0.5">
      <c r="A473" s="1" t="s">
        <v>454</v>
      </c>
      <c r="B473" s="1" t="s">
        <v>50</v>
      </c>
      <c r="C473">
        <v>25265.764266664501</v>
      </c>
      <c r="D473">
        <v>5</v>
      </c>
      <c r="E473" s="2">
        <v>45229</v>
      </c>
      <c r="F473" s="1">
        <v>159</v>
      </c>
      <c r="G473" s="1">
        <v>25</v>
      </c>
      <c r="H473" s="1" t="s">
        <v>15</v>
      </c>
      <c r="I473" s="1" t="s">
        <v>33</v>
      </c>
      <c r="J473" s="1" t="s">
        <v>17</v>
      </c>
      <c r="K473" s="1" t="s">
        <v>25</v>
      </c>
      <c r="L473" s="5" t="s">
        <v>85</v>
      </c>
      <c r="M473" s="1" t="s">
        <v>20</v>
      </c>
      <c r="N473" s="1" t="str">
        <f>YEAR(sales_data[[#This Row],[Date]]) &amp; "-" &amp; TEXT(MONTH(sales_data[[#This Row],[Date]]), "00")</f>
        <v>2023-10</v>
      </c>
      <c r="O473" s="1">
        <f xml:space="preserve"> (sales_data[[#This Row],[Sales]]* (100 - sales_data[[#This Row],[Discount]]))/100</f>
        <v>24002.476053331276</v>
      </c>
    </row>
    <row r="474" spans="1:15" x14ac:dyDescent="0.5">
      <c r="A474" s="1" t="s">
        <v>457</v>
      </c>
      <c r="B474" s="1" t="s">
        <v>50</v>
      </c>
      <c r="C474">
        <v>20141.5918806523</v>
      </c>
      <c r="D474">
        <v>0</v>
      </c>
      <c r="E474" s="2">
        <v>45229</v>
      </c>
      <c r="F474" s="1">
        <v>195</v>
      </c>
      <c r="G474" s="1">
        <v>32</v>
      </c>
      <c r="H474" s="1" t="s">
        <v>15</v>
      </c>
      <c r="I474" s="1" t="s">
        <v>33</v>
      </c>
      <c r="J474" s="1" t="s">
        <v>24</v>
      </c>
      <c r="K474" s="1" t="s">
        <v>25</v>
      </c>
      <c r="L474" s="5" t="s">
        <v>19</v>
      </c>
      <c r="M474" s="1" t="s">
        <v>20</v>
      </c>
      <c r="N474" s="1" t="str">
        <f>YEAR(sales_data[[#This Row],[Date]]) &amp; "-" &amp; TEXT(MONTH(sales_data[[#This Row],[Date]]), "00")</f>
        <v>2023-10</v>
      </c>
      <c r="O474" s="1">
        <f xml:space="preserve"> (sales_data[[#This Row],[Sales]]* (100 - sales_data[[#This Row],[Discount]]))/100</f>
        <v>20141.5918806523</v>
      </c>
    </row>
    <row r="475" spans="1:15" x14ac:dyDescent="0.5">
      <c r="A475" s="1" t="s">
        <v>1032</v>
      </c>
      <c r="B475" s="1" t="s">
        <v>22</v>
      </c>
      <c r="C475">
        <v>11932.1930106162</v>
      </c>
      <c r="D475">
        <v>10</v>
      </c>
      <c r="E475" s="2">
        <v>45229</v>
      </c>
      <c r="F475" s="1">
        <v>186</v>
      </c>
      <c r="G475" s="1">
        <v>95</v>
      </c>
      <c r="H475" s="1" t="s">
        <v>15</v>
      </c>
      <c r="I475" s="1" t="s">
        <v>33</v>
      </c>
      <c r="J475" s="1" t="s">
        <v>24</v>
      </c>
      <c r="K475" s="1" t="s">
        <v>35</v>
      </c>
      <c r="L475" s="5" t="s">
        <v>26</v>
      </c>
      <c r="M475" s="1" t="s">
        <v>41</v>
      </c>
      <c r="N475" s="1" t="str">
        <f>YEAR(sales_data[[#This Row],[Date]]) &amp; "-" &amp; TEXT(MONTH(sales_data[[#This Row],[Date]]), "00")</f>
        <v>2023-10</v>
      </c>
      <c r="O475" s="1">
        <f xml:space="preserve"> (sales_data[[#This Row],[Sales]]* (100 - sales_data[[#This Row],[Discount]]))/100</f>
        <v>10738.973709554579</v>
      </c>
    </row>
    <row r="476" spans="1:15" x14ac:dyDescent="0.5">
      <c r="A476" s="1" t="s">
        <v>158</v>
      </c>
      <c r="B476" s="1" t="s">
        <v>50</v>
      </c>
      <c r="C476">
        <v>13086.0013451783</v>
      </c>
      <c r="D476">
        <v>10</v>
      </c>
      <c r="E476" s="2">
        <v>45230</v>
      </c>
      <c r="F476" s="1">
        <v>102</v>
      </c>
      <c r="G476" s="1">
        <v>78</v>
      </c>
      <c r="H476" s="1" t="s">
        <v>15</v>
      </c>
      <c r="I476" s="1" t="s">
        <v>16</v>
      </c>
      <c r="J476" s="1" t="s">
        <v>34</v>
      </c>
      <c r="K476" s="1" t="s">
        <v>18</v>
      </c>
      <c r="L476" s="5" t="s">
        <v>46</v>
      </c>
      <c r="M476" s="1" t="s">
        <v>31</v>
      </c>
      <c r="N476" s="1" t="str">
        <f>YEAR(sales_data[[#This Row],[Date]]) &amp; "-" &amp; TEXT(MONTH(sales_data[[#This Row],[Date]]), "00")</f>
        <v>2023-10</v>
      </c>
      <c r="O476" s="1">
        <f xml:space="preserve"> (sales_data[[#This Row],[Sales]]* (100 - sales_data[[#This Row],[Discount]]))/100</f>
        <v>11777.40121066047</v>
      </c>
    </row>
    <row r="477" spans="1:15" x14ac:dyDescent="0.5">
      <c r="A477" s="1" t="s">
        <v>289</v>
      </c>
      <c r="B477" s="1" t="s">
        <v>14</v>
      </c>
      <c r="C477">
        <v>11537.6768514259</v>
      </c>
      <c r="D477">
        <v>15</v>
      </c>
      <c r="E477" s="2">
        <v>45230</v>
      </c>
      <c r="F477" s="1">
        <v>150</v>
      </c>
      <c r="G477" s="1">
        <v>22</v>
      </c>
      <c r="H477" s="1" t="s">
        <v>15</v>
      </c>
      <c r="I477" s="1" t="s">
        <v>33</v>
      </c>
      <c r="J477" s="1" t="s">
        <v>17</v>
      </c>
      <c r="K477" s="1" t="s">
        <v>25</v>
      </c>
      <c r="L477" s="5" t="s">
        <v>30</v>
      </c>
      <c r="M477" s="1" t="s">
        <v>20</v>
      </c>
      <c r="N477" s="1" t="str">
        <f>YEAR(sales_data[[#This Row],[Date]]) &amp; "-" &amp; TEXT(MONTH(sales_data[[#This Row],[Date]]), "00")</f>
        <v>2023-10</v>
      </c>
      <c r="O477" s="1">
        <f xml:space="preserve"> (sales_data[[#This Row],[Sales]]* (100 - sales_data[[#This Row],[Discount]]))/100</f>
        <v>9807.025323712016</v>
      </c>
    </row>
    <row r="478" spans="1:15" x14ac:dyDescent="0.5">
      <c r="A478" s="1" t="s">
        <v>406</v>
      </c>
      <c r="B478" s="1" t="s">
        <v>29</v>
      </c>
      <c r="C478">
        <v>16223.085338233301</v>
      </c>
      <c r="D478">
        <v>0</v>
      </c>
      <c r="E478" s="2">
        <v>45232</v>
      </c>
      <c r="F478" s="1">
        <v>175</v>
      </c>
      <c r="G478" s="1">
        <v>22</v>
      </c>
      <c r="H478" s="1" t="s">
        <v>15</v>
      </c>
      <c r="I478" s="1" t="s">
        <v>23</v>
      </c>
      <c r="J478" s="1" t="s">
        <v>24</v>
      </c>
      <c r="K478" s="1" t="s">
        <v>35</v>
      </c>
      <c r="L478" s="5" t="s">
        <v>36</v>
      </c>
      <c r="M478" s="1" t="s">
        <v>20</v>
      </c>
      <c r="N478" s="1" t="str">
        <f>YEAR(sales_data[[#This Row],[Date]]) &amp; "-" &amp; TEXT(MONTH(sales_data[[#This Row],[Date]]), "00")</f>
        <v>2023-11</v>
      </c>
      <c r="O478" s="1">
        <f xml:space="preserve"> (sales_data[[#This Row],[Sales]]* (100 - sales_data[[#This Row],[Discount]]))/100</f>
        <v>16223.085338233299</v>
      </c>
    </row>
    <row r="479" spans="1:15" x14ac:dyDescent="0.5">
      <c r="A479" s="1" t="s">
        <v>848</v>
      </c>
      <c r="B479" s="1" t="s">
        <v>29</v>
      </c>
      <c r="C479">
        <v>15158.277725681801</v>
      </c>
      <c r="D479">
        <v>5</v>
      </c>
      <c r="E479" s="2">
        <v>45232</v>
      </c>
      <c r="F479" s="1">
        <v>118</v>
      </c>
      <c r="G479" s="1">
        <v>12</v>
      </c>
      <c r="H479" s="1" t="s">
        <v>15</v>
      </c>
      <c r="I479" s="1" t="s">
        <v>33</v>
      </c>
      <c r="J479" s="1" t="s">
        <v>24</v>
      </c>
      <c r="K479" s="1" t="s">
        <v>35</v>
      </c>
      <c r="L479" s="5" t="s">
        <v>58</v>
      </c>
      <c r="M479" s="1" t="s">
        <v>41</v>
      </c>
      <c r="N479" s="1" t="str">
        <f>YEAR(sales_data[[#This Row],[Date]]) &amp; "-" &amp; TEXT(MONTH(sales_data[[#This Row],[Date]]), "00")</f>
        <v>2023-11</v>
      </c>
      <c r="O479" s="1">
        <f xml:space="preserve"> (sales_data[[#This Row],[Sales]]* (100 - sales_data[[#This Row],[Discount]]))/100</f>
        <v>14400.363839397709</v>
      </c>
    </row>
    <row r="480" spans="1:15" x14ac:dyDescent="0.5">
      <c r="A480" s="1" t="s">
        <v>896</v>
      </c>
      <c r="B480" s="1" t="s">
        <v>50</v>
      </c>
      <c r="C480">
        <v>17232.05879146</v>
      </c>
      <c r="D480">
        <v>0</v>
      </c>
      <c r="E480" s="2">
        <v>45232</v>
      </c>
      <c r="F480" s="1">
        <v>190</v>
      </c>
      <c r="G480" s="1">
        <v>59</v>
      </c>
      <c r="H480" s="1" t="s">
        <v>15</v>
      </c>
      <c r="I480" s="1" t="s">
        <v>23</v>
      </c>
      <c r="J480" s="1" t="s">
        <v>34</v>
      </c>
      <c r="K480" s="1" t="s">
        <v>25</v>
      </c>
      <c r="L480" s="5" t="s">
        <v>38</v>
      </c>
      <c r="M480" s="1" t="s">
        <v>41</v>
      </c>
      <c r="N480" s="1" t="str">
        <f>YEAR(sales_data[[#This Row],[Date]]) &amp; "-" &amp; TEXT(MONTH(sales_data[[#This Row],[Date]]), "00")</f>
        <v>2023-11</v>
      </c>
      <c r="O480" s="1">
        <f xml:space="preserve"> (sales_data[[#This Row],[Sales]]* (100 - sales_data[[#This Row],[Discount]]))/100</f>
        <v>17232.05879146</v>
      </c>
    </row>
    <row r="481" spans="1:15" x14ac:dyDescent="0.5">
      <c r="A481" s="1" t="s">
        <v>171</v>
      </c>
      <c r="B481" s="1" t="s">
        <v>50</v>
      </c>
      <c r="C481">
        <v>18805.259765667899</v>
      </c>
      <c r="D481">
        <v>0</v>
      </c>
      <c r="E481" s="2">
        <v>45234</v>
      </c>
      <c r="F481" s="1">
        <v>189</v>
      </c>
      <c r="G481" s="1">
        <v>5</v>
      </c>
      <c r="H481" s="1" t="s">
        <v>15</v>
      </c>
      <c r="I481" s="1" t="s">
        <v>16</v>
      </c>
      <c r="J481" s="1" t="s">
        <v>24</v>
      </c>
      <c r="K481" s="1" t="s">
        <v>25</v>
      </c>
      <c r="L481" s="5" t="s">
        <v>19</v>
      </c>
      <c r="M481" s="1" t="s">
        <v>44</v>
      </c>
      <c r="N481" s="1" t="str">
        <f>YEAR(sales_data[[#This Row],[Date]]) &amp; "-" &amp; TEXT(MONTH(sales_data[[#This Row],[Date]]), "00")</f>
        <v>2023-11</v>
      </c>
      <c r="O481" s="1">
        <f xml:space="preserve"> (sales_data[[#This Row],[Sales]]* (100 - sales_data[[#This Row],[Discount]]))/100</f>
        <v>18805.259765667899</v>
      </c>
    </row>
    <row r="482" spans="1:15" x14ac:dyDescent="0.5">
      <c r="A482" s="1" t="s">
        <v>909</v>
      </c>
      <c r="B482" s="1" t="s">
        <v>22</v>
      </c>
      <c r="C482">
        <v>21654.401161072201</v>
      </c>
      <c r="D482">
        <v>15</v>
      </c>
      <c r="E482" s="2">
        <v>45234</v>
      </c>
      <c r="F482" s="1">
        <v>100</v>
      </c>
      <c r="G482" s="1">
        <v>13</v>
      </c>
      <c r="H482" s="1" t="s">
        <v>15</v>
      </c>
      <c r="I482" s="1" t="s">
        <v>23</v>
      </c>
      <c r="J482" s="1" t="s">
        <v>17</v>
      </c>
      <c r="K482" s="1" t="s">
        <v>35</v>
      </c>
      <c r="L482" s="5" t="s">
        <v>46</v>
      </c>
      <c r="M482" s="1" t="s">
        <v>31</v>
      </c>
      <c r="N482" s="1" t="str">
        <f>YEAR(sales_data[[#This Row],[Date]]) &amp; "-" &amp; TEXT(MONTH(sales_data[[#This Row],[Date]]), "00")</f>
        <v>2023-11</v>
      </c>
      <c r="O482" s="1">
        <f xml:space="preserve"> (sales_data[[#This Row],[Sales]]* (100 - sales_data[[#This Row],[Discount]]))/100</f>
        <v>18406.240986911369</v>
      </c>
    </row>
    <row r="483" spans="1:15" x14ac:dyDescent="0.5">
      <c r="A483" s="1" t="s">
        <v>789</v>
      </c>
      <c r="B483" s="1" t="s">
        <v>14</v>
      </c>
      <c r="C483">
        <v>21606.786077251301</v>
      </c>
      <c r="D483">
        <v>15</v>
      </c>
      <c r="E483" s="2">
        <v>45236</v>
      </c>
      <c r="F483" s="1">
        <v>145</v>
      </c>
      <c r="G483" s="1">
        <v>91</v>
      </c>
      <c r="H483" s="1" t="s">
        <v>38</v>
      </c>
      <c r="I483" s="1" t="s">
        <v>33</v>
      </c>
      <c r="J483" s="1" t="s">
        <v>34</v>
      </c>
      <c r="K483" s="1" t="s">
        <v>18</v>
      </c>
      <c r="L483" s="5" t="s">
        <v>85</v>
      </c>
      <c r="M483" s="1" t="s">
        <v>44</v>
      </c>
      <c r="N483" s="1" t="str">
        <f>YEAR(sales_data[[#This Row],[Date]]) &amp; "-" &amp; TEXT(MONTH(sales_data[[#This Row],[Date]]), "00")</f>
        <v>2023-11</v>
      </c>
      <c r="O483" s="1">
        <f xml:space="preserve"> (sales_data[[#This Row],[Sales]]* (100 - sales_data[[#This Row],[Discount]]))/100</f>
        <v>18365.768165663605</v>
      </c>
    </row>
    <row r="484" spans="1:15" x14ac:dyDescent="0.5">
      <c r="A484" s="1" t="s">
        <v>1035</v>
      </c>
      <c r="B484" s="1" t="s">
        <v>50</v>
      </c>
      <c r="C484">
        <v>16654.636306700399</v>
      </c>
      <c r="D484">
        <v>5</v>
      </c>
      <c r="E484" s="2">
        <v>45238</v>
      </c>
      <c r="F484" s="1">
        <v>129</v>
      </c>
      <c r="G484" s="1">
        <v>55</v>
      </c>
      <c r="H484" s="1" t="s">
        <v>15</v>
      </c>
      <c r="I484" s="1" t="s">
        <v>33</v>
      </c>
      <c r="J484" s="1" t="s">
        <v>17</v>
      </c>
      <c r="K484" s="1" t="s">
        <v>18</v>
      </c>
      <c r="L484" s="5" t="s">
        <v>19</v>
      </c>
      <c r="M484" s="1" t="s">
        <v>27</v>
      </c>
      <c r="N484" s="1" t="str">
        <f>YEAR(sales_data[[#This Row],[Date]]) &amp; "-" &amp; TEXT(MONTH(sales_data[[#This Row],[Date]]), "00")</f>
        <v>2023-11</v>
      </c>
      <c r="O484" s="1">
        <f xml:space="preserve"> (sales_data[[#This Row],[Sales]]* (100 - sales_data[[#This Row],[Discount]]))/100</f>
        <v>15821.90449136538</v>
      </c>
    </row>
    <row r="485" spans="1:15" x14ac:dyDescent="0.5">
      <c r="A485" s="1" t="s">
        <v>365</v>
      </c>
      <c r="B485" s="1" t="s">
        <v>22</v>
      </c>
      <c r="C485">
        <v>13597.8532375185</v>
      </c>
      <c r="D485">
        <v>0</v>
      </c>
      <c r="E485" s="2">
        <v>45239</v>
      </c>
      <c r="F485" s="1">
        <v>177</v>
      </c>
      <c r="G485" s="1">
        <v>82</v>
      </c>
      <c r="H485" s="1" t="s">
        <v>15</v>
      </c>
      <c r="I485" s="1" t="s">
        <v>33</v>
      </c>
      <c r="J485" s="1" t="s">
        <v>24</v>
      </c>
      <c r="K485" s="1" t="s">
        <v>25</v>
      </c>
      <c r="L485" s="5" t="s">
        <v>54</v>
      </c>
      <c r="M485" s="1" t="s">
        <v>44</v>
      </c>
      <c r="N485" s="1" t="str">
        <f>YEAR(sales_data[[#This Row],[Date]]) &amp; "-" &amp; TEXT(MONTH(sales_data[[#This Row],[Date]]), "00")</f>
        <v>2023-11</v>
      </c>
      <c r="O485" s="1">
        <f xml:space="preserve"> (sales_data[[#This Row],[Sales]]* (100 - sales_data[[#This Row],[Discount]]))/100</f>
        <v>13597.8532375185</v>
      </c>
    </row>
    <row r="486" spans="1:15" x14ac:dyDescent="0.5">
      <c r="A486" s="1" t="s">
        <v>104</v>
      </c>
      <c r="B486" s="1" t="s">
        <v>29</v>
      </c>
      <c r="C486">
        <v>23348.362744150101</v>
      </c>
      <c r="D486">
        <v>5</v>
      </c>
      <c r="E486" s="2">
        <v>45241</v>
      </c>
      <c r="F486" s="1">
        <v>144</v>
      </c>
      <c r="G486" s="1">
        <v>64</v>
      </c>
      <c r="H486" s="1" t="s">
        <v>15</v>
      </c>
      <c r="I486" s="1" t="s">
        <v>23</v>
      </c>
      <c r="J486" s="1" t="s">
        <v>17</v>
      </c>
      <c r="K486" s="1" t="s">
        <v>25</v>
      </c>
      <c r="L486" s="5" t="s">
        <v>43</v>
      </c>
      <c r="M486" s="1" t="s">
        <v>48</v>
      </c>
      <c r="N486" s="1" t="str">
        <f>YEAR(sales_data[[#This Row],[Date]]) &amp; "-" &amp; TEXT(MONTH(sales_data[[#This Row],[Date]]), "00")</f>
        <v>2023-11</v>
      </c>
      <c r="O486" s="1">
        <f xml:space="preserve"> (sales_data[[#This Row],[Sales]]* (100 - sales_data[[#This Row],[Discount]]))/100</f>
        <v>22180.944606942594</v>
      </c>
    </row>
    <row r="487" spans="1:15" x14ac:dyDescent="0.5">
      <c r="A487" s="1" t="s">
        <v>388</v>
      </c>
      <c r="B487" s="1" t="s">
        <v>50</v>
      </c>
      <c r="C487">
        <v>16108.4763729884</v>
      </c>
      <c r="D487">
        <v>10</v>
      </c>
      <c r="E487" s="2">
        <v>45241</v>
      </c>
      <c r="F487" s="1">
        <v>168</v>
      </c>
      <c r="G487" s="1">
        <v>37</v>
      </c>
      <c r="H487" s="1" t="s">
        <v>15</v>
      </c>
      <c r="I487" s="1" t="s">
        <v>33</v>
      </c>
      <c r="J487" s="1" t="s">
        <v>17</v>
      </c>
      <c r="K487" s="1" t="s">
        <v>18</v>
      </c>
      <c r="L487" s="5" t="s">
        <v>30</v>
      </c>
      <c r="M487" s="1" t="s">
        <v>27</v>
      </c>
      <c r="N487" s="1" t="str">
        <f>YEAR(sales_data[[#This Row],[Date]]) &amp; "-" &amp; TEXT(MONTH(sales_data[[#This Row],[Date]]), "00")</f>
        <v>2023-11</v>
      </c>
      <c r="O487" s="1">
        <f xml:space="preserve"> (sales_data[[#This Row],[Sales]]* (100 - sales_data[[#This Row],[Discount]]))/100</f>
        <v>14497.628735689561</v>
      </c>
    </row>
    <row r="488" spans="1:15" x14ac:dyDescent="0.5">
      <c r="A488" s="1" t="s">
        <v>625</v>
      </c>
      <c r="B488" s="1" t="s">
        <v>50</v>
      </c>
      <c r="C488">
        <v>16618.038489703598</v>
      </c>
      <c r="D488">
        <v>15</v>
      </c>
      <c r="E488" s="2">
        <v>45241</v>
      </c>
      <c r="F488" s="1">
        <v>115</v>
      </c>
      <c r="G488" s="1">
        <v>3</v>
      </c>
      <c r="H488" s="1" t="s">
        <v>15</v>
      </c>
      <c r="I488" s="1" t="s">
        <v>23</v>
      </c>
      <c r="J488" s="1" t="s">
        <v>34</v>
      </c>
      <c r="K488" s="1" t="s">
        <v>35</v>
      </c>
      <c r="L488" s="5" t="s">
        <v>54</v>
      </c>
      <c r="M488" s="1" t="s">
        <v>48</v>
      </c>
      <c r="N488" s="1" t="str">
        <f>YEAR(sales_data[[#This Row],[Date]]) &amp; "-" &amp; TEXT(MONTH(sales_data[[#This Row],[Date]]), "00")</f>
        <v>2023-11</v>
      </c>
      <c r="O488" s="1">
        <f xml:space="preserve"> (sales_data[[#This Row],[Sales]]* (100 - sales_data[[#This Row],[Discount]]))/100</f>
        <v>14125.332716248058</v>
      </c>
    </row>
    <row r="489" spans="1:15" x14ac:dyDescent="0.5">
      <c r="A489" s="1" t="s">
        <v>718</v>
      </c>
      <c r="B489" s="1" t="s">
        <v>50</v>
      </c>
      <c r="C489">
        <v>18146.9283395694</v>
      </c>
      <c r="D489">
        <v>5</v>
      </c>
      <c r="E489" s="2">
        <v>45242</v>
      </c>
      <c r="F489" s="1">
        <v>179</v>
      </c>
      <c r="G489" s="1">
        <v>38</v>
      </c>
      <c r="H489" s="1" t="s">
        <v>15</v>
      </c>
      <c r="I489" s="1" t="s">
        <v>23</v>
      </c>
      <c r="J489" s="1" t="s">
        <v>34</v>
      </c>
      <c r="K489" s="1" t="s">
        <v>18</v>
      </c>
      <c r="L489" s="5" t="s">
        <v>54</v>
      </c>
      <c r="M489" s="1" t="s">
        <v>44</v>
      </c>
      <c r="N489" s="1" t="str">
        <f>YEAR(sales_data[[#This Row],[Date]]) &amp; "-" &amp; TEXT(MONTH(sales_data[[#This Row],[Date]]), "00")</f>
        <v>2023-11</v>
      </c>
      <c r="O489" s="1">
        <f xml:space="preserve"> (sales_data[[#This Row],[Sales]]* (100 - sales_data[[#This Row],[Discount]]))/100</f>
        <v>17239.581922590929</v>
      </c>
    </row>
    <row r="490" spans="1:15" x14ac:dyDescent="0.5">
      <c r="A490" s="1" t="s">
        <v>649</v>
      </c>
      <c r="B490" s="1" t="s">
        <v>14</v>
      </c>
      <c r="C490">
        <v>21041.914039737701</v>
      </c>
      <c r="D490">
        <v>5</v>
      </c>
      <c r="E490" s="2">
        <v>45243</v>
      </c>
      <c r="F490" s="1">
        <v>127</v>
      </c>
      <c r="G490" s="1">
        <v>48</v>
      </c>
      <c r="H490" s="1" t="s">
        <v>38</v>
      </c>
      <c r="I490" s="1" t="s">
        <v>16</v>
      </c>
      <c r="J490" s="1" t="s">
        <v>24</v>
      </c>
      <c r="K490" s="1" t="s">
        <v>25</v>
      </c>
      <c r="L490" s="5" t="s">
        <v>46</v>
      </c>
      <c r="M490" s="1" t="s">
        <v>20</v>
      </c>
      <c r="N490" s="1" t="str">
        <f>YEAR(sales_data[[#This Row],[Date]]) &amp; "-" &amp; TEXT(MONTH(sales_data[[#This Row],[Date]]), "00")</f>
        <v>2023-11</v>
      </c>
      <c r="O490" s="1">
        <f xml:space="preserve"> (sales_data[[#This Row],[Sales]]* (100 - sales_data[[#This Row],[Discount]]))/100</f>
        <v>19989.818337750818</v>
      </c>
    </row>
    <row r="491" spans="1:15" x14ac:dyDescent="0.5">
      <c r="A491" s="1" t="s">
        <v>246</v>
      </c>
      <c r="B491" s="1" t="s">
        <v>22</v>
      </c>
      <c r="C491">
        <v>15750.778152676001</v>
      </c>
      <c r="D491">
        <v>0</v>
      </c>
      <c r="E491" s="2">
        <v>45244</v>
      </c>
      <c r="F491" s="1">
        <v>129</v>
      </c>
      <c r="G491" s="1">
        <v>22</v>
      </c>
      <c r="H491" s="1" t="s">
        <v>15</v>
      </c>
      <c r="I491" s="1" t="s">
        <v>33</v>
      </c>
      <c r="J491" s="1" t="s">
        <v>17</v>
      </c>
      <c r="K491" s="1" t="s">
        <v>35</v>
      </c>
      <c r="L491" s="5" t="s">
        <v>30</v>
      </c>
      <c r="M491" s="1" t="s">
        <v>48</v>
      </c>
      <c r="N491" s="1" t="str">
        <f>YEAR(sales_data[[#This Row],[Date]]) &amp; "-" &amp; TEXT(MONTH(sales_data[[#This Row],[Date]]), "00")</f>
        <v>2023-11</v>
      </c>
      <c r="O491" s="1">
        <f xml:space="preserve"> (sales_data[[#This Row],[Sales]]* (100 - sales_data[[#This Row],[Discount]]))/100</f>
        <v>15750.778152676001</v>
      </c>
    </row>
    <row r="492" spans="1:15" x14ac:dyDescent="0.5">
      <c r="A492" s="1" t="s">
        <v>855</v>
      </c>
      <c r="B492" s="1" t="s">
        <v>14</v>
      </c>
      <c r="C492">
        <v>19901.8110053665</v>
      </c>
      <c r="D492">
        <v>5</v>
      </c>
      <c r="E492" s="2">
        <v>45244</v>
      </c>
      <c r="F492" s="1">
        <v>128</v>
      </c>
      <c r="G492" s="1">
        <v>14</v>
      </c>
      <c r="H492" s="1" t="s">
        <v>15</v>
      </c>
      <c r="I492" s="1" t="s">
        <v>16</v>
      </c>
      <c r="J492" s="1" t="s">
        <v>24</v>
      </c>
      <c r="K492" s="1" t="s">
        <v>35</v>
      </c>
      <c r="L492" s="5" t="s">
        <v>30</v>
      </c>
      <c r="M492" s="1" t="s">
        <v>27</v>
      </c>
      <c r="N492" s="1" t="str">
        <f>YEAR(sales_data[[#This Row],[Date]]) &amp; "-" &amp; TEXT(MONTH(sales_data[[#This Row],[Date]]), "00")</f>
        <v>2023-11</v>
      </c>
      <c r="O492" s="1">
        <f xml:space="preserve"> (sales_data[[#This Row],[Sales]]* (100 - sales_data[[#This Row],[Discount]]))/100</f>
        <v>18906.720455098177</v>
      </c>
    </row>
    <row r="493" spans="1:15" x14ac:dyDescent="0.5">
      <c r="A493" s="1" t="s">
        <v>928</v>
      </c>
      <c r="B493" s="1" t="s">
        <v>22</v>
      </c>
      <c r="C493">
        <v>26180.465876052102</v>
      </c>
      <c r="D493">
        <v>5</v>
      </c>
      <c r="E493" s="2">
        <v>45244</v>
      </c>
      <c r="F493" s="1">
        <v>152</v>
      </c>
      <c r="G493" s="1">
        <v>30</v>
      </c>
      <c r="H493" s="1" t="s">
        <v>15</v>
      </c>
      <c r="I493" s="1" t="s">
        <v>23</v>
      </c>
      <c r="J493" s="1" t="s">
        <v>24</v>
      </c>
      <c r="K493" s="1" t="s">
        <v>35</v>
      </c>
      <c r="L493" s="5" t="s">
        <v>43</v>
      </c>
      <c r="M493" s="1" t="s">
        <v>48</v>
      </c>
      <c r="N493" s="1" t="str">
        <f>YEAR(sales_data[[#This Row],[Date]]) &amp; "-" &amp; TEXT(MONTH(sales_data[[#This Row],[Date]]), "00")</f>
        <v>2023-11</v>
      </c>
      <c r="O493" s="1">
        <f xml:space="preserve"> (sales_data[[#This Row],[Sales]]* (100 - sales_data[[#This Row],[Discount]]))/100</f>
        <v>24871.442582249496</v>
      </c>
    </row>
    <row r="494" spans="1:15" x14ac:dyDescent="0.5">
      <c r="A494" s="1" t="s">
        <v>301</v>
      </c>
      <c r="B494" s="1" t="s">
        <v>14</v>
      </c>
      <c r="C494">
        <v>18702.043243181899</v>
      </c>
      <c r="D494">
        <v>5</v>
      </c>
      <c r="E494" s="2">
        <v>45245</v>
      </c>
      <c r="F494" s="1">
        <v>100</v>
      </c>
      <c r="G494" s="1">
        <v>7</v>
      </c>
      <c r="H494" s="1" t="s">
        <v>15</v>
      </c>
      <c r="I494" s="1" t="s">
        <v>16</v>
      </c>
      <c r="J494" s="1" t="s">
        <v>17</v>
      </c>
      <c r="K494" s="1" t="s">
        <v>18</v>
      </c>
      <c r="L494" s="5" t="s">
        <v>38</v>
      </c>
      <c r="M494" s="1" t="s">
        <v>20</v>
      </c>
      <c r="N494" s="1" t="str">
        <f>YEAR(sales_data[[#This Row],[Date]]) &amp; "-" &amp; TEXT(MONTH(sales_data[[#This Row],[Date]]), "00")</f>
        <v>2023-11</v>
      </c>
      <c r="O494" s="1">
        <f xml:space="preserve"> (sales_data[[#This Row],[Sales]]* (100 - sales_data[[#This Row],[Discount]]))/100</f>
        <v>17766.941081022804</v>
      </c>
    </row>
    <row r="495" spans="1:15" x14ac:dyDescent="0.5">
      <c r="A495" s="1" t="s">
        <v>362</v>
      </c>
      <c r="B495" s="1" t="s">
        <v>29</v>
      </c>
      <c r="C495">
        <v>12957.693518182199</v>
      </c>
      <c r="D495">
        <v>0</v>
      </c>
      <c r="E495" s="2">
        <v>45246</v>
      </c>
      <c r="F495" s="1">
        <v>180</v>
      </c>
      <c r="G495" s="1">
        <v>94</v>
      </c>
      <c r="H495" s="1" t="s">
        <v>15</v>
      </c>
      <c r="I495" s="1" t="s">
        <v>16</v>
      </c>
      <c r="J495" s="1" t="s">
        <v>24</v>
      </c>
      <c r="K495" s="1" t="s">
        <v>35</v>
      </c>
      <c r="L495" s="5" t="s">
        <v>46</v>
      </c>
      <c r="M495" s="1" t="s">
        <v>55</v>
      </c>
      <c r="N495" s="1" t="str">
        <f>YEAR(sales_data[[#This Row],[Date]]) &amp; "-" &amp; TEXT(MONTH(sales_data[[#This Row],[Date]]), "00")</f>
        <v>2023-11</v>
      </c>
      <c r="O495" s="1">
        <f xml:space="preserve"> (sales_data[[#This Row],[Sales]]* (100 - sales_data[[#This Row],[Discount]]))/100</f>
        <v>12957.693518182199</v>
      </c>
    </row>
    <row r="496" spans="1:15" x14ac:dyDescent="0.5">
      <c r="A496" s="1" t="s">
        <v>472</v>
      </c>
      <c r="B496" s="1" t="s">
        <v>22</v>
      </c>
      <c r="C496">
        <v>20982.773882557802</v>
      </c>
      <c r="D496">
        <v>10</v>
      </c>
      <c r="E496" s="2">
        <v>45246</v>
      </c>
      <c r="F496" s="1">
        <v>112</v>
      </c>
      <c r="G496" s="1">
        <v>39</v>
      </c>
      <c r="H496" s="1" t="s">
        <v>15</v>
      </c>
      <c r="I496" s="1" t="s">
        <v>23</v>
      </c>
      <c r="J496" s="1" t="s">
        <v>34</v>
      </c>
      <c r="K496" s="1" t="s">
        <v>18</v>
      </c>
      <c r="L496" s="5" t="s">
        <v>85</v>
      </c>
      <c r="M496" s="1" t="s">
        <v>27</v>
      </c>
      <c r="N496" s="1" t="str">
        <f>YEAR(sales_data[[#This Row],[Date]]) &amp; "-" &amp; TEXT(MONTH(sales_data[[#This Row],[Date]]), "00")</f>
        <v>2023-11</v>
      </c>
      <c r="O496" s="1">
        <f xml:space="preserve"> (sales_data[[#This Row],[Sales]]* (100 - sales_data[[#This Row],[Discount]]))/100</f>
        <v>18884.49649430202</v>
      </c>
    </row>
    <row r="497" spans="1:15" x14ac:dyDescent="0.5">
      <c r="A497" s="1" t="s">
        <v>493</v>
      </c>
      <c r="B497" s="1" t="s">
        <v>14</v>
      </c>
      <c r="C497">
        <v>19826.575563065999</v>
      </c>
      <c r="D497">
        <v>0</v>
      </c>
      <c r="E497" s="2">
        <v>45246</v>
      </c>
      <c r="F497" s="1">
        <v>152</v>
      </c>
      <c r="G497" s="1">
        <v>23</v>
      </c>
      <c r="H497" s="1" t="s">
        <v>15</v>
      </c>
      <c r="I497" s="1" t="s">
        <v>16</v>
      </c>
      <c r="J497" s="1" t="s">
        <v>24</v>
      </c>
      <c r="K497" s="1" t="s">
        <v>35</v>
      </c>
      <c r="L497" s="5" t="s">
        <v>19</v>
      </c>
      <c r="M497" s="1" t="s">
        <v>48</v>
      </c>
      <c r="N497" s="1" t="str">
        <f>YEAR(sales_data[[#This Row],[Date]]) &amp; "-" &amp; TEXT(MONTH(sales_data[[#This Row],[Date]]), "00")</f>
        <v>2023-11</v>
      </c>
      <c r="O497" s="1">
        <f xml:space="preserve"> (sales_data[[#This Row],[Sales]]* (100 - sales_data[[#This Row],[Discount]]))/100</f>
        <v>19826.575563065999</v>
      </c>
    </row>
    <row r="498" spans="1:15" x14ac:dyDescent="0.5">
      <c r="A498" s="1" t="s">
        <v>994</v>
      </c>
      <c r="B498" s="1" t="s">
        <v>29</v>
      </c>
      <c r="C498">
        <v>18314.570144409801</v>
      </c>
      <c r="D498">
        <v>15</v>
      </c>
      <c r="E498" s="2">
        <v>45246</v>
      </c>
      <c r="F498" s="1">
        <v>123</v>
      </c>
      <c r="G498" s="1">
        <v>60</v>
      </c>
      <c r="H498" s="1" t="s">
        <v>15</v>
      </c>
      <c r="I498" s="1" t="s">
        <v>33</v>
      </c>
      <c r="J498" s="1" t="s">
        <v>24</v>
      </c>
      <c r="K498" s="1" t="s">
        <v>25</v>
      </c>
      <c r="L498" s="5" t="s">
        <v>43</v>
      </c>
      <c r="M498" s="1" t="s">
        <v>41</v>
      </c>
      <c r="N498" s="1" t="str">
        <f>YEAR(sales_data[[#This Row],[Date]]) &amp; "-" &amp; TEXT(MONTH(sales_data[[#This Row],[Date]]), "00")</f>
        <v>2023-11</v>
      </c>
      <c r="O498" s="1">
        <f xml:space="preserve"> (sales_data[[#This Row],[Sales]]* (100 - sales_data[[#This Row],[Discount]]))/100</f>
        <v>15567.384622748332</v>
      </c>
    </row>
    <row r="499" spans="1:15" x14ac:dyDescent="0.5">
      <c r="A499" s="1" t="s">
        <v>94</v>
      </c>
      <c r="B499" s="1" t="s">
        <v>50</v>
      </c>
      <c r="C499">
        <v>20370.473902098802</v>
      </c>
      <c r="D499">
        <v>10</v>
      </c>
      <c r="E499" s="2">
        <v>45247</v>
      </c>
      <c r="F499" s="1">
        <v>100</v>
      </c>
      <c r="G499" s="1">
        <v>6</v>
      </c>
      <c r="H499" s="1" t="s">
        <v>15</v>
      </c>
      <c r="I499" s="1" t="s">
        <v>33</v>
      </c>
      <c r="J499" s="1" t="s">
        <v>34</v>
      </c>
      <c r="K499" s="1" t="s">
        <v>18</v>
      </c>
      <c r="L499" s="5" t="s">
        <v>54</v>
      </c>
      <c r="M499" s="1" t="s">
        <v>31</v>
      </c>
      <c r="N499" s="1" t="str">
        <f>YEAR(sales_data[[#This Row],[Date]]) &amp; "-" &amp; TEXT(MONTH(sales_data[[#This Row],[Date]]), "00")</f>
        <v>2023-11</v>
      </c>
      <c r="O499" s="1">
        <f xml:space="preserve"> (sales_data[[#This Row],[Sales]]* (100 - sales_data[[#This Row],[Discount]]))/100</f>
        <v>18333.42651188892</v>
      </c>
    </row>
    <row r="500" spans="1:15" x14ac:dyDescent="0.5">
      <c r="A500" s="1" t="s">
        <v>272</v>
      </c>
      <c r="B500" s="1" t="s">
        <v>50</v>
      </c>
      <c r="C500">
        <v>14372.5547635081</v>
      </c>
      <c r="D500">
        <v>5</v>
      </c>
      <c r="E500" s="2">
        <v>45247</v>
      </c>
      <c r="F500" s="1">
        <v>172</v>
      </c>
      <c r="G500" s="1">
        <v>97</v>
      </c>
      <c r="H500" s="1" t="s">
        <v>15</v>
      </c>
      <c r="I500" s="1" t="s">
        <v>33</v>
      </c>
      <c r="J500" s="1" t="s">
        <v>17</v>
      </c>
      <c r="K500" s="1" t="s">
        <v>18</v>
      </c>
      <c r="L500" s="5" t="s">
        <v>19</v>
      </c>
      <c r="M500" s="1" t="s">
        <v>41</v>
      </c>
      <c r="N500" s="1" t="str">
        <f>YEAR(sales_data[[#This Row],[Date]]) &amp; "-" &amp; TEXT(MONTH(sales_data[[#This Row],[Date]]), "00")</f>
        <v>2023-11</v>
      </c>
      <c r="O500" s="1">
        <f xml:space="preserve"> (sales_data[[#This Row],[Sales]]* (100 - sales_data[[#This Row],[Discount]]))/100</f>
        <v>13653.927025332696</v>
      </c>
    </row>
    <row r="501" spans="1:15" x14ac:dyDescent="0.5">
      <c r="A501" s="1" t="s">
        <v>983</v>
      </c>
      <c r="B501" s="1" t="s">
        <v>50</v>
      </c>
      <c r="C501">
        <v>20322.3720740506</v>
      </c>
      <c r="D501">
        <v>5</v>
      </c>
      <c r="E501" s="2">
        <v>45247</v>
      </c>
      <c r="F501" s="1">
        <v>100</v>
      </c>
      <c r="G501" s="1">
        <v>40</v>
      </c>
      <c r="H501" s="1" t="s">
        <v>15</v>
      </c>
      <c r="I501" s="1" t="s">
        <v>33</v>
      </c>
      <c r="J501" s="1" t="s">
        <v>17</v>
      </c>
      <c r="K501" s="1" t="s">
        <v>25</v>
      </c>
      <c r="L501" s="5" t="s">
        <v>46</v>
      </c>
      <c r="M501" s="1" t="s">
        <v>55</v>
      </c>
      <c r="N501" s="1" t="str">
        <f>YEAR(sales_data[[#This Row],[Date]]) &amp; "-" &amp; TEXT(MONTH(sales_data[[#This Row],[Date]]), "00")</f>
        <v>2023-11</v>
      </c>
      <c r="O501" s="1">
        <f xml:space="preserve"> (sales_data[[#This Row],[Sales]]* (100 - sales_data[[#This Row],[Discount]]))/100</f>
        <v>19306.253470348067</v>
      </c>
    </row>
    <row r="502" spans="1:15" x14ac:dyDescent="0.5">
      <c r="A502" s="1" t="s">
        <v>683</v>
      </c>
      <c r="B502" s="1" t="s">
        <v>50</v>
      </c>
      <c r="C502">
        <v>28637.7158505035</v>
      </c>
      <c r="D502">
        <v>15</v>
      </c>
      <c r="E502" s="2">
        <v>45248</v>
      </c>
      <c r="F502" s="1">
        <v>128</v>
      </c>
      <c r="G502" s="1">
        <v>86</v>
      </c>
      <c r="H502" s="1" t="s">
        <v>15</v>
      </c>
      <c r="I502" s="1" t="s">
        <v>33</v>
      </c>
      <c r="J502" s="1" t="s">
        <v>34</v>
      </c>
      <c r="K502" s="1" t="s">
        <v>35</v>
      </c>
      <c r="L502" s="5" t="s">
        <v>38</v>
      </c>
      <c r="M502" s="1" t="s">
        <v>55</v>
      </c>
      <c r="N502" s="1" t="str">
        <f>YEAR(sales_data[[#This Row],[Date]]) &amp; "-" &amp; TEXT(MONTH(sales_data[[#This Row],[Date]]), "00")</f>
        <v>2023-11</v>
      </c>
      <c r="O502" s="1">
        <f xml:space="preserve"> (sales_data[[#This Row],[Sales]]* (100 - sales_data[[#This Row],[Discount]]))/100</f>
        <v>24342.058472927976</v>
      </c>
    </row>
    <row r="503" spans="1:15" x14ac:dyDescent="0.5">
      <c r="A503" s="1" t="s">
        <v>932</v>
      </c>
      <c r="B503" s="1" t="s">
        <v>50</v>
      </c>
      <c r="C503">
        <v>18417.957751525901</v>
      </c>
      <c r="D503">
        <v>10</v>
      </c>
      <c r="E503" s="2">
        <v>45248</v>
      </c>
      <c r="F503" s="1">
        <v>164</v>
      </c>
      <c r="G503" s="1">
        <v>16</v>
      </c>
      <c r="H503" s="1" t="s">
        <v>15</v>
      </c>
      <c r="I503" s="1" t="s">
        <v>33</v>
      </c>
      <c r="J503" s="1" t="s">
        <v>34</v>
      </c>
      <c r="K503" s="1" t="s">
        <v>35</v>
      </c>
      <c r="L503" s="5" t="s">
        <v>26</v>
      </c>
      <c r="M503" s="1" t="s">
        <v>48</v>
      </c>
      <c r="N503" s="1" t="str">
        <f>YEAR(sales_data[[#This Row],[Date]]) &amp; "-" &amp; TEXT(MONTH(sales_data[[#This Row],[Date]]), "00")</f>
        <v>2023-11</v>
      </c>
      <c r="O503" s="1">
        <f xml:space="preserve"> (sales_data[[#This Row],[Sales]]* (100 - sales_data[[#This Row],[Discount]]))/100</f>
        <v>16576.161976373311</v>
      </c>
    </row>
    <row r="504" spans="1:15" x14ac:dyDescent="0.5">
      <c r="A504" s="1" t="s">
        <v>1028</v>
      </c>
      <c r="B504" s="1" t="s">
        <v>29</v>
      </c>
      <c r="C504">
        <v>15575.986429865399</v>
      </c>
      <c r="D504">
        <v>0</v>
      </c>
      <c r="E504" s="2">
        <v>45248</v>
      </c>
      <c r="F504" s="1">
        <v>135</v>
      </c>
      <c r="G504" s="1">
        <v>62</v>
      </c>
      <c r="H504" s="1" t="s">
        <v>38</v>
      </c>
      <c r="I504" s="1" t="s">
        <v>16</v>
      </c>
      <c r="J504" s="1" t="s">
        <v>17</v>
      </c>
      <c r="K504" s="1" t="s">
        <v>25</v>
      </c>
      <c r="L504" s="5" t="s">
        <v>58</v>
      </c>
      <c r="M504" s="1" t="s">
        <v>20</v>
      </c>
      <c r="N504" s="1" t="str">
        <f>YEAR(sales_data[[#This Row],[Date]]) &amp; "-" &amp; TEXT(MONTH(sales_data[[#This Row],[Date]]), "00")</f>
        <v>2023-11</v>
      </c>
      <c r="O504" s="1">
        <f xml:space="preserve"> (sales_data[[#This Row],[Sales]]* (100 - sales_data[[#This Row],[Discount]]))/100</f>
        <v>15575.986429865399</v>
      </c>
    </row>
    <row r="505" spans="1:15" x14ac:dyDescent="0.5">
      <c r="A505" s="1" t="s">
        <v>644</v>
      </c>
      <c r="B505" s="1" t="s">
        <v>50</v>
      </c>
      <c r="C505">
        <v>14208.1765540372</v>
      </c>
      <c r="D505">
        <v>15</v>
      </c>
      <c r="E505" s="2">
        <v>45250</v>
      </c>
      <c r="F505" s="1">
        <v>102</v>
      </c>
      <c r="G505" s="1">
        <v>92</v>
      </c>
      <c r="H505" s="1" t="s">
        <v>15</v>
      </c>
      <c r="I505" s="1" t="s">
        <v>16</v>
      </c>
      <c r="J505" s="1" t="s">
        <v>34</v>
      </c>
      <c r="K505" s="1" t="s">
        <v>18</v>
      </c>
      <c r="L505" s="5" t="s">
        <v>85</v>
      </c>
      <c r="M505" s="1" t="s">
        <v>44</v>
      </c>
      <c r="N505" s="1" t="str">
        <f>YEAR(sales_data[[#This Row],[Date]]) &amp; "-" &amp; TEXT(MONTH(sales_data[[#This Row],[Date]]), "00")</f>
        <v>2023-11</v>
      </c>
      <c r="O505" s="1">
        <f xml:space="preserve"> (sales_data[[#This Row],[Sales]]* (100 - sales_data[[#This Row],[Discount]]))/100</f>
        <v>12076.95007093162</v>
      </c>
    </row>
    <row r="506" spans="1:15" x14ac:dyDescent="0.5">
      <c r="A506" s="1" t="s">
        <v>664</v>
      </c>
      <c r="B506" s="1" t="s">
        <v>14</v>
      </c>
      <c r="C506">
        <v>21967.4269271087</v>
      </c>
      <c r="D506">
        <v>5</v>
      </c>
      <c r="E506" s="2">
        <v>45250</v>
      </c>
      <c r="F506" s="1">
        <v>152</v>
      </c>
      <c r="G506" s="1">
        <v>44</v>
      </c>
      <c r="H506" s="1" t="s">
        <v>15</v>
      </c>
      <c r="I506" s="1" t="s">
        <v>33</v>
      </c>
      <c r="J506" s="1" t="s">
        <v>24</v>
      </c>
      <c r="K506" s="1" t="s">
        <v>35</v>
      </c>
      <c r="L506" s="5" t="s">
        <v>54</v>
      </c>
      <c r="M506" s="1" t="s">
        <v>44</v>
      </c>
      <c r="N506" s="1" t="str">
        <f>YEAR(sales_data[[#This Row],[Date]]) &amp; "-" &amp; TEXT(MONTH(sales_data[[#This Row],[Date]]), "00")</f>
        <v>2023-11</v>
      </c>
      <c r="O506" s="1">
        <f xml:space="preserve"> (sales_data[[#This Row],[Sales]]* (100 - sales_data[[#This Row],[Discount]]))/100</f>
        <v>20869.055580753266</v>
      </c>
    </row>
    <row r="507" spans="1:15" x14ac:dyDescent="0.5">
      <c r="A507" s="1" t="s">
        <v>871</v>
      </c>
      <c r="B507" s="1" t="s">
        <v>14</v>
      </c>
      <c r="C507">
        <v>16407.963672154001</v>
      </c>
      <c r="D507">
        <v>15</v>
      </c>
      <c r="E507" s="2">
        <v>45250</v>
      </c>
      <c r="F507" s="1">
        <v>142</v>
      </c>
      <c r="G507" s="1">
        <v>41</v>
      </c>
      <c r="H507" s="1" t="s">
        <v>15</v>
      </c>
      <c r="I507" s="1" t="s">
        <v>33</v>
      </c>
      <c r="J507" s="1" t="s">
        <v>24</v>
      </c>
      <c r="K507" s="1" t="s">
        <v>25</v>
      </c>
      <c r="L507" s="5" t="s">
        <v>58</v>
      </c>
      <c r="M507" s="1" t="s">
        <v>48</v>
      </c>
      <c r="N507" s="1" t="str">
        <f>YEAR(sales_data[[#This Row],[Date]]) &amp; "-" &amp; TEXT(MONTH(sales_data[[#This Row],[Date]]), "00")</f>
        <v>2023-11</v>
      </c>
      <c r="O507" s="1">
        <f xml:space="preserve"> (sales_data[[#This Row],[Sales]]* (100 - sales_data[[#This Row],[Discount]]))/100</f>
        <v>13946.769121330903</v>
      </c>
    </row>
    <row r="508" spans="1:15" x14ac:dyDescent="0.5">
      <c r="A508" s="1" t="s">
        <v>262</v>
      </c>
      <c r="B508" s="1" t="s">
        <v>29</v>
      </c>
      <c r="C508">
        <v>26778.189294024702</v>
      </c>
      <c r="D508">
        <v>5</v>
      </c>
      <c r="E508" s="2">
        <v>45251</v>
      </c>
      <c r="F508" s="1">
        <v>114</v>
      </c>
      <c r="G508" s="1">
        <v>30</v>
      </c>
      <c r="H508" s="1" t="s">
        <v>15</v>
      </c>
      <c r="I508" s="1" t="s">
        <v>23</v>
      </c>
      <c r="J508" s="1" t="s">
        <v>34</v>
      </c>
      <c r="K508" s="1" t="s">
        <v>35</v>
      </c>
      <c r="L508" s="5" t="s">
        <v>85</v>
      </c>
      <c r="M508" s="1" t="s">
        <v>27</v>
      </c>
      <c r="N508" s="1" t="str">
        <f>YEAR(sales_data[[#This Row],[Date]]) &amp; "-" &amp; TEXT(MONTH(sales_data[[#This Row],[Date]]), "00")</f>
        <v>2023-11</v>
      </c>
      <c r="O508" s="1">
        <f xml:space="preserve"> (sales_data[[#This Row],[Sales]]* (100 - sales_data[[#This Row],[Discount]]))/100</f>
        <v>25439.27982932347</v>
      </c>
    </row>
    <row r="509" spans="1:15" x14ac:dyDescent="0.5">
      <c r="A509" s="1" t="s">
        <v>306</v>
      </c>
      <c r="B509" s="1" t="s">
        <v>50</v>
      </c>
      <c r="C509">
        <v>19728.5256674109</v>
      </c>
      <c r="D509">
        <v>10</v>
      </c>
      <c r="E509" s="2">
        <v>45252</v>
      </c>
      <c r="F509" s="1">
        <v>112</v>
      </c>
      <c r="G509" s="1">
        <v>1</v>
      </c>
      <c r="H509" s="1" t="s">
        <v>15</v>
      </c>
      <c r="I509" s="1" t="s">
        <v>16</v>
      </c>
      <c r="J509" s="1" t="s">
        <v>34</v>
      </c>
      <c r="K509" s="1" t="s">
        <v>35</v>
      </c>
      <c r="L509" s="5" t="s">
        <v>54</v>
      </c>
      <c r="M509" s="1" t="s">
        <v>55</v>
      </c>
      <c r="N509" s="1" t="str">
        <f>YEAR(sales_data[[#This Row],[Date]]) &amp; "-" &amp; TEXT(MONTH(sales_data[[#This Row],[Date]]), "00")</f>
        <v>2023-11</v>
      </c>
      <c r="O509" s="1">
        <f xml:space="preserve"> (sales_data[[#This Row],[Sales]]* (100 - sales_data[[#This Row],[Discount]]))/100</f>
        <v>17755.67310066981</v>
      </c>
    </row>
    <row r="510" spans="1:15" x14ac:dyDescent="0.5">
      <c r="A510" s="1" t="s">
        <v>809</v>
      </c>
      <c r="B510" s="1" t="s">
        <v>29</v>
      </c>
      <c r="C510">
        <v>0</v>
      </c>
      <c r="D510">
        <v>0</v>
      </c>
      <c r="E510" s="2">
        <v>45252</v>
      </c>
      <c r="F510" s="1">
        <v>161</v>
      </c>
      <c r="G510" s="1">
        <v>49</v>
      </c>
      <c r="H510" s="1" t="s">
        <v>15</v>
      </c>
      <c r="I510" s="1" t="s">
        <v>33</v>
      </c>
      <c r="J510" s="1" t="s">
        <v>24</v>
      </c>
      <c r="K510" s="1" t="s">
        <v>18</v>
      </c>
      <c r="L510" s="5" t="s">
        <v>58</v>
      </c>
      <c r="M510" s="1" t="s">
        <v>41</v>
      </c>
      <c r="N510" s="1" t="str">
        <f>YEAR(sales_data[[#This Row],[Date]]) &amp; "-" &amp; TEXT(MONTH(sales_data[[#This Row],[Date]]), "00")</f>
        <v>2023-11</v>
      </c>
      <c r="O510" s="1">
        <f xml:space="preserve"> (sales_data[[#This Row],[Sales]]* (100 - sales_data[[#This Row],[Discount]]))/100</f>
        <v>0</v>
      </c>
    </row>
    <row r="511" spans="1:15" x14ac:dyDescent="0.5">
      <c r="A511" s="1" t="s">
        <v>124</v>
      </c>
      <c r="B511" s="1" t="s">
        <v>22</v>
      </c>
      <c r="C511">
        <v>18895.152002333802</v>
      </c>
      <c r="D511">
        <v>15</v>
      </c>
      <c r="E511" s="2">
        <v>45255</v>
      </c>
      <c r="F511" s="1">
        <v>132</v>
      </c>
      <c r="G511" s="1">
        <v>88</v>
      </c>
      <c r="H511" s="1" t="s">
        <v>15</v>
      </c>
      <c r="I511" s="1" t="s">
        <v>33</v>
      </c>
      <c r="J511" s="1" t="s">
        <v>24</v>
      </c>
      <c r="K511" s="1" t="s">
        <v>18</v>
      </c>
      <c r="L511" s="5" t="s">
        <v>26</v>
      </c>
      <c r="M511" s="1" t="s">
        <v>48</v>
      </c>
      <c r="N511" s="1" t="str">
        <f>YEAR(sales_data[[#This Row],[Date]]) &amp; "-" &amp; TEXT(MONTH(sales_data[[#This Row],[Date]]), "00")</f>
        <v>2023-11</v>
      </c>
      <c r="O511" s="1">
        <f xml:space="preserve"> (sales_data[[#This Row],[Sales]]* (100 - sales_data[[#This Row],[Discount]]))/100</f>
        <v>16060.879201983731</v>
      </c>
    </row>
    <row r="512" spans="1:15" x14ac:dyDescent="0.5">
      <c r="A512" s="1" t="s">
        <v>433</v>
      </c>
      <c r="B512" s="1" t="s">
        <v>29</v>
      </c>
      <c r="C512">
        <v>0</v>
      </c>
      <c r="D512">
        <v>5</v>
      </c>
      <c r="E512" s="2">
        <v>45256</v>
      </c>
      <c r="F512" s="1">
        <v>104</v>
      </c>
      <c r="G512" s="1">
        <v>71</v>
      </c>
      <c r="H512" s="1" t="s">
        <v>15</v>
      </c>
      <c r="I512" s="1" t="s">
        <v>16</v>
      </c>
      <c r="J512" s="1" t="s">
        <v>17</v>
      </c>
      <c r="K512" s="1" t="s">
        <v>25</v>
      </c>
      <c r="L512" s="5" t="s">
        <v>36</v>
      </c>
      <c r="M512" s="1" t="s">
        <v>31</v>
      </c>
      <c r="N512" s="1" t="str">
        <f>YEAR(sales_data[[#This Row],[Date]]) &amp; "-" &amp; TEXT(MONTH(sales_data[[#This Row],[Date]]), "00")</f>
        <v>2023-11</v>
      </c>
      <c r="O512" s="1">
        <f xml:space="preserve"> (sales_data[[#This Row],[Sales]]* (100 - sales_data[[#This Row],[Discount]]))/100</f>
        <v>0</v>
      </c>
    </row>
    <row r="513" spans="1:15" x14ac:dyDescent="0.5">
      <c r="A513" s="1" t="s">
        <v>974</v>
      </c>
      <c r="B513" s="1" t="s">
        <v>29</v>
      </c>
      <c r="C513">
        <v>13440.818838249201</v>
      </c>
      <c r="D513">
        <v>5</v>
      </c>
      <c r="E513" s="2">
        <v>45256</v>
      </c>
      <c r="F513" s="1">
        <v>140</v>
      </c>
      <c r="G513" s="1">
        <v>50</v>
      </c>
      <c r="H513" s="1" t="s">
        <v>15</v>
      </c>
      <c r="I513" s="1" t="s">
        <v>33</v>
      </c>
      <c r="J513" s="1" t="s">
        <v>17</v>
      </c>
      <c r="K513" s="1" t="s">
        <v>18</v>
      </c>
      <c r="L513" s="5" t="s">
        <v>36</v>
      </c>
      <c r="M513" s="1" t="s">
        <v>48</v>
      </c>
      <c r="N513" s="1" t="str">
        <f>YEAR(sales_data[[#This Row],[Date]]) &amp; "-" &amp; TEXT(MONTH(sales_data[[#This Row],[Date]]), "00")</f>
        <v>2023-11</v>
      </c>
      <c r="O513" s="1">
        <f xml:space="preserve"> (sales_data[[#This Row],[Sales]]* (100 - sales_data[[#This Row],[Discount]]))/100</f>
        <v>12768.77789633674</v>
      </c>
    </row>
    <row r="514" spans="1:15" x14ac:dyDescent="0.5">
      <c r="A514" s="1" t="s">
        <v>100</v>
      </c>
      <c r="B514" s="1" t="s">
        <v>22</v>
      </c>
      <c r="C514">
        <v>19836.526259529499</v>
      </c>
      <c r="D514">
        <v>15</v>
      </c>
      <c r="E514" s="2">
        <v>45257</v>
      </c>
      <c r="F514" s="1">
        <v>160</v>
      </c>
      <c r="G514" s="1">
        <v>49</v>
      </c>
      <c r="H514" s="1" t="s">
        <v>15</v>
      </c>
      <c r="I514" s="1" t="s">
        <v>16</v>
      </c>
      <c r="J514" s="1" t="s">
        <v>17</v>
      </c>
      <c r="K514" s="1" t="s">
        <v>35</v>
      </c>
      <c r="L514" s="5" t="s">
        <v>30</v>
      </c>
      <c r="M514" s="1" t="s">
        <v>27</v>
      </c>
      <c r="N514" s="1" t="str">
        <f>YEAR(sales_data[[#This Row],[Date]]) &amp; "-" &amp; TEXT(MONTH(sales_data[[#This Row],[Date]]), "00")</f>
        <v>2023-11</v>
      </c>
      <c r="O514" s="1">
        <f xml:space="preserve"> (sales_data[[#This Row],[Sales]]* (100 - sales_data[[#This Row],[Discount]]))/100</f>
        <v>16861.047320600075</v>
      </c>
    </row>
    <row r="515" spans="1:15" x14ac:dyDescent="0.5">
      <c r="A515" s="1" t="s">
        <v>337</v>
      </c>
      <c r="B515" s="1" t="s">
        <v>29</v>
      </c>
      <c r="C515">
        <v>24678.391965737301</v>
      </c>
      <c r="D515">
        <v>0</v>
      </c>
      <c r="E515" s="2">
        <v>45257</v>
      </c>
      <c r="F515" s="1">
        <v>180</v>
      </c>
      <c r="G515" s="1">
        <v>50</v>
      </c>
      <c r="H515" s="1" t="s">
        <v>15</v>
      </c>
      <c r="I515" s="1" t="s">
        <v>33</v>
      </c>
      <c r="J515" s="1" t="s">
        <v>24</v>
      </c>
      <c r="K515" s="1" t="s">
        <v>25</v>
      </c>
      <c r="L515" s="5" t="s">
        <v>36</v>
      </c>
      <c r="M515" s="1" t="s">
        <v>27</v>
      </c>
      <c r="N515" s="1" t="str">
        <f>YEAR(sales_data[[#This Row],[Date]]) &amp; "-" &amp; TEXT(MONTH(sales_data[[#This Row],[Date]]), "00")</f>
        <v>2023-11</v>
      </c>
      <c r="O515" s="1">
        <f xml:space="preserve"> (sales_data[[#This Row],[Sales]]* (100 - sales_data[[#This Row],[Discount]]))/100</f>
        <v>24678.391965737301</v>
      </c>
    </row>
    <row r="516" spans="1:15" x14ac:dyDescent="0.5">
      <c r="A516" s="1" t="s">
        <v>639</v>
      </c>
      <c r="B516" s="1" t="s">
        <v>22</v>
      </c>
      <c r="C516">
        <v>23929.000793254101</v>
      </c>
      <c r="D516">
        <v>0</v>
      </c>
      <c r="E516" s="2">
        <v>45257</v>
      </c>
      <c r="F516" s="1">
        <v>187</v>
      </c>
      <c r="G516" s="1">
        <v>30</v>
      </c>
      <c r="H516" s="1" t="s">
        <v>15</v>
      </c>
      <c r="I516" s="1" t="s">
        <v>23</v>
      </c>
      <c r="J516" s="1" t="s">
        <v>17</v>
      </c>
      <c r="K516" s="1" t="s">
        <v>35</v>
      </c>
      <c r="L516" s="5" t="s">
        <v>46</v>
      </c>
      <c r="M516" s="1" t="s">
        <v>27</v>
      </c>
      <c r="N516" s="1" t="str">
        <f>YEAR(sales_data[[#This Row],[Date]]) &amp; "-" &amp; TEXT(MONTH(sales_data[[#This Row],[Date]]), "00")</f>
        <v>2023-11</v>
      </c>
      <c r="O516" s="1">
        <f xml:space="preserve"> (sales_data[[#This Row],[Sales]]* (100 - sales_data[[#This Row],[Discount]]))/100</f>
        <v>23929.000793254101</v>
      </c>
    </row>
    <row r="517" spans="1:15" x14ac:dyDescent="0.5">
      <c r="A517" s="1" t="s">
        <v>77</v>
      </c>
      <c r="B517" s="1" t="s">
        <v>50</v>
      </c>
      <c r="C517">
        <v>0</v>
      </c>
      <c r="D517">
        <v>15</v>
      </c>
      <c r="E517" s="2">
        <v>45258</v>
      </c>
      <c r="F517" s="1">
        <v>187</v>
      </c>
      <c r="G517" s="1">
        <v>66</v>
      </c>
      <c r="H517" s="1" t="s">
        <v>15</v>
      </c>
      <c r="I517" s="1" t="s">
        <v>33</v>
      </c>
      <c r="J517" s="1" t="s">
        <v>17</v>
      </c>
      <c r="K517" s="1" t="s">
        <v>25</v>
      </c>
      <c r="L517" s="5" t="s">
        <v>58</v>
      </c>
      <c r="M517" s="1" t="s">
        <v>27</v>
      </c>
      <c r="N517" s="1" t="str">
        <f>YEAR(sales_data[[#This Row],[Date]]) &amp; "-" &amp; TEXT(MONTH(sales_data[[#This Row],[Date]]), "00")</f>
        <v>2023-11</v>
      </c>
      <c r="O517" s="1">
        <f xml:space="preserve"> (sales_data[[#This Row],[Sales]]* (100 - sales_data[[#This Row],[Discount]]))/100</f>
        <v>0</v>
      </c>
    </row>
    <row r="518" spans="1:15" x14ac:dyDescent="0.5">
      <c r="A518" s="1" t="s">
        <v>446</v>
      </c>
      <c r="B518" s="1" t="s">
        <v>40</v>
      </c>
      <c r="C518">
        <v>22295.9003961421</v>
      </c>
      <c r="D518">
        <v>15</v>
      </c>
      <c r="E518" s="2">
        <v>45258</v>
      </c>
      <c r="F518" s="1">
        <v>103</v>
      </c>
      <c r="G518" s="1">
        <v>56</v>
      </c>
      <c r="H518" s="1" t="s">
        <v>15</v>
      </c>
      <c r="I518" s="1" t="s">
        <v>33</v>
      </c>
      <c r="J518" s="1" t="s">
        <v>34</v>
      </c>
      <c r="K518" s="1" t="s">
        <v>18</v>
      </c>
      <c r="L518" s="5" t="s">
        <v>19</v>
      </c>
      <c r="M518" s="1" t="s">
        <v>20</v>
      </c>
      <c r="N518" s="1" t="str">
        <f>YEAR(sales_data[[#This Row],[Date]]) &amp; "-" &amp; TEXT(MONTH(sales_data[[#This Row],[Date]]), "00")</f>
        <v>2023-11</v>
      </c>
      <c r="O518" s="1">
        <f xml:space="preserve"> (sales_data[[#This Row],[Sales]]* (100 - sales_data[[#This Row],[Discount]]))/100</f>
        <v>18951.515336720786</v>
      </c>
    </row>
    <row r="519" spans="1:15" x14ac:dyDescent="0.5">
      <c r="A519" s="1" t="s">
        <v>846</v>
      </c>
      <c r="B519" s="1" t="s">
        <v>50</v>
      </c>
      <c r="C519">
        <v>18876.834250014799</v>
      </c>
      <c r="D519">
        <v>5</v>
      </c>
      <c r="E519" s="2">
        <v>45258</v>
      </c>
      <c r="F519" s="1">
        <v>188</v>
      </c>
      <c r="G519" s="1">
        <v>51</v>
      </c>
      <c r="H519" s="1" t="s">
        <v>15</v>
      </c>
      <c r="I519" s="1" t="s">
        <v>23</v>
      </c>
      <c r="J519" s="1" t="s">
        <v>17</v>
      </c>
      <c r="K519" s="1" t="s">
        <v>18</v>
      </c>
      <c r="L519" s="5" t="s">
        <v>58</v>
      </c>
      <c r="M519" s="1" t="s">
        <v>41</v>
      </c>
      <c r="N519" s="1" t="str">
        <f>YEAR(sales_data[[#This Row],[Date]]) &amp; "-" &amp; TEXT(MONTH(sales_data[[#This Row],[Date]]), "00")</f>
        <v>2023-11</v>
      </c>
      <c r="O519" s="1">
        <f xml:space="preserve"> (sales_data[[#This Row],[Sales]]* (100 - sales_data[[#This Row],[Discount]]))/100</f>
        <v>17932.992537514059</v>
      </c>
    </row>
    <row r="520" spans="1:15" x14ac:dyDescent="0.5">
      <c r="A520" s="1" t="s">
        <v>1039</v>
      </c>
      <c r="B520" s="1" t="s">
        <v>22</v>
      </c>
      <c r="C520">
        <v>23389.6293566963</v>
      </c>
      <c r="D520">
        <v>10</v>
      </c>
      <c r="E520" s="2">
        <v>45258</v>
      </c>
      <c r="F520" s="1">
        <v>150</v>
      </c>
      <c r="G520" s="1">
        <v>9</v>
      </c>
      <c r="H520" s="1" t="s">
        <v>15</v>
      </c>
      <c r="I520" s="1" t="s">
        <v>16</v>
      </c>
      <c r="J520" s="1" t="s">
        <v>34</v>
      </c>
      <c r="K520" s="1" t="s">
        <v>25</v>
      </c>
      <c r="L520" s="5" t="s">
        <v>46</v>
      </c>
      <c r="M520" s="1" t="s">
        <v>31</v>
      </c>
      <c r="N520" s="1" t="str">
        <f>YEAR(sales_data[[#This Row],[Date]]) &amp; "-" &amp; TEXT(MONTH(sales_data[[#This Row],[Date]]), "00")</f>
        <v>2023-11</v>
      </c>
      <c r="O520" s="1">
        <f xml:space="preserve"> (sales_data[[#This Row],[Sales]]* (100 - sales_data[[#This Row],[Discount]]))/100</f>
        <v>21050.666421026672</v>
      </c>
    </row>
    <row r="521" spans="1:15" x14ac:dyDescent="0.5">
      <c r="A521" s="1" t="s">
        <v>256</v>
      </c>
      <c r="B521" s="1" t="s">
        <v>14</v>
      </c>
      <c r="C521">
        <v>15106.1814210884</v>
      </c>
      <c r="D521">
        <v>0</v>
      </c>
      <c r="E521" s="2">
        <v>45259</v>
      </c>
      <c r="F521" s="1">
        <v>163</v>
      </c>
      <c r="G521" s="1">
        <v>54</v>
      </c>
      <c r="H521" s="1" t="s">
        <v>15</v>
      </c>
      <c r="I521" s="1" t="s">
        <v>23</v>
      </c>
      <c r="J521" s="1" t="s">
        <v>24</v>
      </c>
      <c r="K521" s="1" t="s">
        <v>35</v>
      </c>
      <c r="L521" s="5" t="s">
        <v>38</v>
      </c>
      <c r="M521" s="1" t="s">
        <v>27</v>
      </c>
      <c r="N521" s="1" t="str">
        <f>YEAR(sales_data[[#This Row],[Date]]) &amp; "-" &amp; TEXT(MONTH(sales_data[[#This Row],[Date]]), "00")</f>
        <v>2023-11</v>
      </c>
      <c r="O521" s="1">
        <f xml:space="preserve"> (sales_data[[#This Row],[Sales]]* (100 - sales_data[[#This Row],[Discount]]))/100</f>
        <v>15106.181421088399</v>
      </c>
    </row>
    <row r="522" spans="1:15" x14ac:dyDescent="0.5">
      <c r="A522" s="1" t="s">
        <v>357</v>
      </c>
      <c r="B522" s="1" t="s">
        <v>22</v>
      </c>
      <c r="C522">
        <v>24620.135096034501</v>
      </c>
      <c r="D522">
        <v>10</v>
      </c>
      <c r="E522" s="2">
        <v>45259</v>
      </c>
      <c r="F522" s="1">
        <v>122</v>
      </c>
      <c r="G522" s="1">
        <v>58</v>
      </c>
      <c r="H522" s="1" t="s">
        <v>15</v>
      </c>
      <c r="I522" s="1" t="s">
        <v>23</v>
      </c>
      <c r="J522" s="1" t="s">
        <v>34</v>
      </c>
      <c r="K522" s="1" t="s">
        <v>18</v>
      </c>
      <c r="L522" s="5" t="s">
        <v>38</v>
      </c>
      <c r="M522" s="1" t="s">
        <v>48</v>
      </c>
      <c r="N522" s="1" t="str">
        <f>YEAR(sales_data[[#This Row],[Date]]) &amp; "-" &amp; TEXT(MONTH(sales_data[[#This Row],[Date]]), "00")</f>
        <v>2023-11</v>
      </c>
      <c r="O522" s="1">
        <f xml:space="preserve"> (sales_data[[#This Row],[Sales]]* (100 - sales_data[[#This Row],[Discount]]))/100</f>
        <v>22158.121586431051</v>
      </c>
    </row>
    <row r="523" spans="1:15" x14ac:dyDescent="0.5">
      <c r="A523" s="1" t="s">
        <v>627</v>
      </c>
      <c r="B523" s="1" t="s">
        <v>22</v>
      </c>
      <c r="C523">
        <v>19799.210246778199</v>
      </c>
      <c r="D523">
        <v>5</v>
      </c>
      <c r="E523" s="2">
        <v>45259</v>
      </c>
      <c r="F523" s="1">
        <v>172</v>
      </c>
      <c r="G523" s="1">
        <v>78</v>
      </c>
      <c r="H523" s="1" t="s">
        <v>15</v>
      </c>
      <c r="I523" s="1" t="s">
        <v>33</v>
      </c>
      <c r="J523" s="1" t="s">
        <v>24</v>
      </c>
      <c r="K523" s="1" t="s">
        <v>35</v>
      </c>
      <c r="L523" s="5" t="s">
        <v>54</v>
      </c>
      <c r="M523" s="1" t="s">
        <v>55</v>
      </c>
      <c r="N523" s="1" t="str">
        <f>YEAR(sales_data[[#This Row],[Date]]) &amp; "-" &amp; TEXT(MONTH(sales_data[[#This Row],[Date]]), "00")</f>
        <v>2023-11</v>
      </c>
      <c r="O523" s="1">
        <f xml:space="preserve"> (sales_data[[#This Row],[Sales]]* (100 - sales_data[[#This Row],[Discount]]))/100</f>
        <v>18809.24973443929</v>
      </c>
    </row>
    <row r="524" spans="1:15" x14ac:dyDescent="0.5">
      <c r="A524" s="1" t="s">
        <v>465</v>
      </c>
      <c r="B524" s="1" t="s">
        <v>50</v>
      </c>
      <c r="C524">
        <v>21110.668858168501</v>
      </c>
      <c r="D524">
        <v>0</v>
      </c>
      <c r="E524" s="2">
        <v>45260</v>
      </c>
      <c r="F524" s="1">
        <v>116</v>
      </c>
      <c r="G524" s="1">
        <v>80</v>
      </c>
      <c r="H524" s="1" t="s">
        <v>15</v>
      </c>
      <c r="I524" s="1" t="s">
        <v>16</v>
      </c>
      <c r="J524" s="1" t="s">
        <v>34</v>
      </c>
      <c r="K524" s="1" t="s">
        <v>18</v>
      </c>
      <c r="L524" s="5" t="s">
        <v>30</v>
      </c>
      <c r="M524" s="1" t="s">
        <v>44</v>
      </c>
      <c r="N524" s="1" t="str">
        <f>YEAR(sales_data[[#This Row],[Date]]) &amp; "-" &amp; TEXT(MONTH(sales_data[[#This Row],[Date]]), "00")</f>
        <v>2023-11</v>
      </c>
      <c r="O524" s="1">
        <f xml:space="preserve"> (sales_data[[#This Row],[Sales]]* (100 - sales_data[[#This Row],[Discount]]))/100</f>
        <v>21110.668858168501</v>
      </c>
    </row>
    <row r="525" spans="1:15" x14ac:dyDescent="0.5">
      <c r="A525" s="1" t="s">
        <v>567</v>
      </c>
      <c r="B525" s="1" t="s">
        <v>50</v>
      </c>
      <c r="C525">
        <v>23227.420905705301</v>
      </c>
      <c r="D525">
        <v>10</v>
      </c>
      <c r="E525" s="2">
        <v>45261</v>
      </c>
      <c r="F525" s="1">
        <v>114</v>
      </c>
      <c r="G525" s="1">
        <v>79</v>
      </c>
      <c r="H525" s="1" t="s">
        <v>15</v>
      </c>
      <c r="I525" s="1" t="s">
        <v>23</v>
      </c>
      <c r="J525" s="1" t="s">
        <v>24</v>
      </c>
      <c r="K525" s="1" t="s">
        <v>35</v>
      </c>
      <c r="L525" s="5" t="s">
        <v>58</v>
      </c>
      <c r="M525" s="1" t="s">
        <v>27</v>
      </c>
      <c r="N525" s="1" t="str">
        <f>YEAR(sales_data[[#This Row],[Date]]) &amp; "-" &amp; TEXT(MONTH(sales_data[[#This Row],[Date]]), "00")</f>
        <v>2023-12</v>
      </c>
      <c r="O525" s="1">
        <f xml:space="preserve"> (sales_data[[#This Row],[Sales]]* (100 - sales_data[[#This Row],[Discount]]))/100</f>
        <v>20904.678815134772</v>
      </c>
    </row>
    <row r="526" spans="1:15" x14ac:dyDescent="0.5">
      <c r="A526" s="1" t="s">
        <v>224</v>
      </c>
      <c r="B526" s="1" t="s">
        <v>14</v>
      </c>
      <c r="C526">
        <v>0</v>
      </c>
      <c r="D526">
        <v>5</v>
      </c>
      <c r="E526" s="2">
        <v>45262</v>
      </c>
      <c r="F526" s="1">
        <v>159</v>
      </c>
      <c r="G526" s="1">
        <v>62</v>
      </c>
      <c r="H526" s="1" t="s">
        <v>15</v>
      </c>
      <c r="I526" s="1" t="s">
        <v>33</v>
      </c>
      <c r="J526" s="1" t="s">
        <v>34</v>
      </c>
      <c r="K526" s="1" t="s">
        <v>35</v>
      </c>
      <c r="L526" s="5" t="s">
        <v>38</v>
      </c>
      <c r="M526" s="1" t="s">
        <v>27</v>
      </c>
      <c r="N526" s="1" t="str">
        <f>YEAR(sales_data[[#This Row],[Date]]) &amp; "-" &amp; TEXT(MONTH(sales_data[[#This Row],[Date]]), "00")</f>
        <v>2023-12</v>
      </c>
      <c r="O526" s="1">
        <f xml:space="preserve"> (sales_data[[#This Row],[Sales]]* (100 - sales_data[[#This Row],[Discount]]))/100</f>
        <v>0</v>
      </c>
    </row>
    <row r="527" spans="1:15" x14ac:dyDescent="0.5">
      <c r="A527" s="1" t="s">
        <v>756</v>
      </c>
      <c r="B527" s="1" t="s">
        <v>50</v>
      </c>
      <c r="C527">
        <v>0</v>
      </c>
      <c r="D527">
        <v>10</v>
      </c>
      <c r="E527" s="2">
        <v>45262</v>
      </c>
      <c r="F527" s="1">
        <v>174</v>
      </c>
      <c r="G527" s="1">
        <v>35</v>
      </c>
      <c r="H527" s="1" t="s">
        <v>15</v>
      </c>
      <c r="I527" s="1" t="s">
        <v>16</v>
      </c>
      <c r="J527" s="1" t="s">
        <v>24</v>
      </c>
      <c r="K527" s="1" t="s">
        <v>25</v>
      </c>
      <c r="L527" s="5" t="s">
        <v>26</v>
      </c>
      <c r="M527" s="1" t="s">
        <v>55</v>
      </c>
      <c r="N527" s="1" t="str">
        <f>YEAR(sales_data[[#This Row],[Date]]) &amp; "-" &amp; TEXT(MONTH(sales_data[[#This Row],[Date]]), "00")</f>
        <v>2023-12</v>
      </c>
      <c r="O527" s="1">
        <f xml:space="preserve"> (sales_data[[#This Row],[Sales]]* (100 - sales_data[[#This Row],[Discount]]))/100</f>
        <v>0</v>
      </c>
    </row>
    <row r="528" spans="1:15" x14ac:dyDescent="0.5">
      <c r="A528" s="1" t="s">
        <v>491</v>
      </c>
      <c r="B528" s="1" t="s">
        <v>14</v>
      </c>
      <c r="C528">
        <v>14979.296166239599</v>
      </c>
      <c r="D528">
        <v>5</v>
      </c>
      <c r="E528" s="2">
        <v>45264</v>
      </c>
      <c r="F528" s="1">
        <v>120</v>
      </c>
      <c r="G528" s="1">
        <v>32</v>
      </c>
      <c r="H528" s="1" t="s">
        <v>15</v>
      </c>
      <c r="I528" s="1" t="s">
        <v>16</v>
      </c>
      <c r="J528" s="1" t="s">
        <v>24</v>
      </c>
      <c r="K528" s="1" t="s">
        <v>25</v>
      </c>
      <c r="L528" s="5" t="s">
        <v>30</v>
      </c>
      <c r="M528" s="1" t="s">
        <v>27</v>
      </c>
      <c r="N528" s="1" t="str">
        <f>YEAR(sales_data[[#This Row],[Date]]) &amp; "-" &amp; TEXT(MONTH(sales_data[[#This Row],[Date]]), "00")</f>
        <v>2023-12</v>
      </c>
      <c r="O528" s="1">
        <f xml:space="preserve"> (sales_data[[#This Row],[Sales]]* (100 - sales_data[[#This Row],[Discount]]))/100</f>
        <v>14230.331357927618</v>
      </c>
    </row>
    <row r="529" spans="1:15" x14ac:dyDescent="0.5">
      <c r="A529" s="1" t="s">
        <v>736</v>
      </c>
      <c r="B529" s="1" t="s">
        <v>50</v>
      </c>
      <c r="C529">
        <v>17859.424195170399</v>
      </c>
      <c r="D529">
        <v>5</v>
      </c>
      <c r="E529" s="2">
        <v>45264</v>
      </c>
      <c r="F529" s="1">
        <v>103</v>
      </c>
      <c r="G529" s="1">
        <v>79</v>
      </c>
      <c r="H529" s="1" t="s">
        <v>15</v>
      </c>
      <c r="I529" s="1" t="s">
        <v>16</v>
      </c>
      <c r="J529" s="1" t="s">
        <v>34</v>
      </c>
      <c r="K529" s="1" t="s">
        <v>18</v>
      </c>
      <c r="L529" s="5" t="s">
        <v>58</v>
      </c>
      <c r="M529" s="1" t="s">
        <v>48</v>
      </c>
      <c r="N529" s="1" t="str">
        <f>YEAR(sales_data[[#This Row],[Date]]) &amp; "-" &amp; TEXT(MONTH(sales_data[[#This Row],[Date]]), "00")</f>
        <v>2023-12</v>
      </c>
      <c r="O529" s="1">
        <f xml:space="preserve"> (sales_data[[#This Row],[Sales]]* (100 - sales_data[[#This Row],[Discount]]))/100</f>
        <v>16966.452985411881</v>
      </c>
    </row>
    <row r="530" spans="1:15" x14ac:dyDescent="0.5">
      <c r="A530" s="1" t="s">
        <v>785</v>
      </c>
      <c r="B530" s="1" t="s">
        <v>14</v>
      </c>
      <c r="C530">
        <v>21513.177326195098</v>
      </c>
      <c r="D530">
        <v>0</v>
      </c>
      <c r="E530" s="2">
        <v>45264</v>
      </c>
      <c r="F530" s="1">
        <v>159</v>
      </c>
      <c r="G530" s="1">
        <v>96</v>
      </c>
      <c r="H530" s="1" t="s">
        <v>15</v>
      </c>
      <c r="I530" s="1" t="s">
        <v>23</v>
      </c>
      <c r="J530" s="1" t="s">
        <v>24</v>
      </c>
      <c r="K530" s="1" t="s">
        <v>18</v>
      </c>
      <c r="L530" s="5" t="s">
        <v>46</v>
      </c>
      <c r="M530" s="1" t="s">
        <v>27</v>
      </c>
      <c r="N530" s="1" t="str">
        <f>YEAR(sales_data[[#This Row],[Date]]) &amp; "-" &amp; TEXT(MONTH(sales_data[[#This Row],[Date]]), "00")</f>
        <v>2023-12</v>
      </c>
      <c r="O530" s="1">
        <f xml:space="preserve"> (sales_data[[#This Row],[Sales]]* (100 - sales_data[[#This Row],[Discount]]))/100</f>
        <v>21513.177326195102</v>
      </c>
    </row>
    <row r="531" spans="1:15" x14ac:dyDescent="0.5">
      <c r="A531" s="1" t="s">
        <v>830</v>
      </c>
      <c r="B531" s="1" t="s">
        <v>29</v>
      </c>
      <c r="C531">
        <v>21405.9571198468</v>
      </c>
      <c r="D531">
        <v>10</v>
      </c>
      <c r="E531" s="2">
        <v>45264</v>
      </c>
      <c r="F531" s="1">
        <v>110</v>
      </c>
      <c r="G531" s="1">
        <v>61</v>
      </c>
      <c r="H531" s="1" t="s">
        <v>15</v>
      </c>
      <c r="I531" s="1" t="s">
        <v>33</v>
      </c>
      <c r="J531" s="1" t="s">
        <v>24</v>
      </c>
      <c r="K531" s="1" t="s">
        <v>35</v>
      </c>
      <c r="L531" s="5" t="s">
        <v>46</v>
      </c>
      <c r="M531" s="1" t="s">
        <v>44</v>
      </c>
      <c r="N531" s="1" t="str">
        <f>YEAR(sales_data[[#This Row],[Date]]) &amp; "-" &amp; TEXT(MONTH(sales_data[[#This Row],[Date]]), "00")</f>
        <v>2023-12</v>
      </c>
      <c r="O531" s="1">
        <f xml:space="preserve"> (sales_data[[#This Row],[Sales]]* (100 - sales_data[[#This Row],[Discount]]))/100</f>
        <v>19265.361407862118</v>
      </c>
    </row>
    <row r="532" spans="1:15" x14ac:dyDescent="0.5">
      <c r="A532" s="1" t="s">
        <v>962</v>
      </c>
      <c r="B532" s="1" t="s">
        <v>22</v>
      </c>
      <c r="C532">
        <v>16221.2742025357</v>
      </c>
      <c r="D532">
        <v>5</v>
      </c>
      <c r="E532" s="2">
        <v>45264</v>
      </c>
      <c r="F532" s="1">
        <v>170</v>
      </c>
      <c r="G532" s="1">
        <v>64</v>
      </c>
      <c r="H532" s="1" t="s">
        <v>15</v>
      </c>
      <c r="I532" s="1" t="s">
        <v>23</v>
      </c>
      <c r="J532" s="1" t="s">
        <v>24</v>
      </c>
      <c r="K532" s="1" t="s">
        <v>18</v>
      </c>
      <c r="L532" s="5" t="s">
        <v>85</v>
      </c>
      <c r="M532" s="1" t="s">
        <v>48</v>
      </c>
      <c r="N532" s="1" t="str">
        <f>YEAR(sales_data[[#This Row],[Date]]) &amp; "-" &amp; TEXT(MONTH(sales_data[[#This Row],[Date]]), "00")</f>
        <v>2023-12</v>
      </c>
      <c r="O532" s="1">
        <f xml:space="preserve"> (sales_data[[#This Row],[Sales]]* (100 - sales_data[[#This Row],[Discount]]))/100</f>
        <v>15410.210492408916</v>
      </c>
    </row>
    <row r="533" spans="1:15" x14ac:dyDescent="0.5">
      <c r="A533" s="1" t="s">
        <v>423</v>
      </c>
      <c r="B533" s="1" t="s">
        <v>50</v>
      </c>
      <c r="C533">
        <v>25746.3666314283</v>
      </c>
      <c r="D533">
        <v>5</v>
      </c>
      <c r="E533" s="2">
        <v>45265</v>
      </c>
      <c r="F533" s="1">
        <v>166</v>
      </c>
      <c r="G533" s="1">
        <v>78</v>
      </c>
      <c r="H533" s="1" t="s">
        <v>15</v>
      </c>
      <c r="I533" s="1" t="s">
        <v>23</v>
      </c>
      <c r="J533" s="1" t="s">
        <v>34</v>
      </c>
      <c r="K533" s="1" t="s">
        <v>25</v>
      </c>
      <c r="L533" s="5" t="s">
        <v>30</v>
      </c>
      <c r="M533" s="1" t="s">
        <v>31</v>
      </c>
      <c r="N533" s="1" t="str">
        <f>YEAR(sales_data[[#This Row],[Date]]) &amp; "-" &amp; TEXT(MONTH(sales_data[[#This Row],[Date]]), "00")</f>
        <v>2023-12</v>
      </c>
      <c r="O533" s="1">
        <f xml:space="preserve"> (sales_data[[#This Row],[Sales]]* (100 - sales_data[[#This Row],[Discount]]))/100</f>
        <v>24459.048299856884</v>
      </c>
    </row>
    <row r="534" spans="1:15" x14ac:dyDescent="0.5">
      <c r="A534" s="1" t="s">
        <v>266</v>
      </c>
      <c r="B534" s="1" t="s">
        <v>14</v>
      </c>
      <c r="C534">
        <v>13776.726483442901</v>
      </c>
      <c r="D534">
        <v>15</v>
      </c>
      <c r="E534" s="2">
        <v>45267</v>
      </c>
      <c r="F534" s="1">
        <v>141</v>
      </c>
      <c r="G534" s="1">
        <v>67</v>
      </c>
      <c r="H534" s="1" t="s">
        <v>15</v>
      </c>
      <c r="I534" s="1" t="s">
        <v>16</v>
      </c>
      <c r="J534" s="1" t="s">
        <v>34</v>
      </c>
      <c r="K534" s="1" t="s">
        <v>35</v>
      </c>
      <c r="L534" s="5" t="s">
        <v>26</v>
      </c>
      <c r="M534" s="1" t="s">
        <v>31</v>
      </c>
      <c r="N534" s="1" t="str">
        <f>YEAR(sales_data[[#This Row],[Date]]) &amp; "-" &amp; TEXT(MONTH(sales_data[[#This Row],[Date]]), "00")</f>
        <v>2023-12</v>
      </c>
      <c r="O534" s="1">
        <f xml:space="preserve"> (sales_data[[#This Row],[Sales]]* (100 - sales_data[[#This Row],[Discount]]))/100</f>
        <v>11710.217510926464</v>
      </c>
    </row>
    <row r="535" spans="1:15" x14ac:dyDescent="0.5">
      <c r="A535" s="1" t="s">
        <v>53</v>
      </c>
      <c r="B535" s="1" t="s">
        <v>14</v>
      </c>
      <c r="C535">
        <v>19427.300773736901</v>
      </c>
      <c r="D535">
        <v>5</v>
      </c>
      <c r="E535" s="2">
        <v>45268</v>
      </c>
      <c r="F535" s="1">
        <v>160</v>
      </c>
      <c r="G535" s="1">
        <v>59</v>
      </c>
      <c r="H535" s="1" t="s">
        <v>15</v>
      </c>
      <c r="I535" s="1" t="s">
        <v>16</v>
      </c>
      <c r="J535" s="1" t="s">
        <v>34</v>
      </c>
      <c r="K535" s="1" t="s">
        <v>35</v>
      </c>
      <c r="L535" s="5" t="s">
        <v>54</v>
      </c>
      <c r="M535" s="1" t="s">
        <v>55</v>
      </c>
      <c r="N535" s="1" t="str">
        <f>YEAR(sales_data[[#This Row],[Date]]) &amp; "-" &amp; TEXT(MONTH(sales_data[[#This Row],[Date]]), "00")</f>
        <v>2023-12</v>
      </c>
      <c r="O535" s="1">
        <f xml:space="preserve"> (sales_data[[#This Row],[Sales]]* (100 - sales_data[[#This Row],[Discount]]))/100</f>
        <v>18455.935735050054</v>
      </c>
    </row>
    <row r="536" spans="1:15" x14ac:dyDescent="0.5">
      <c r="A536" s="1" t="s">
        <v>264</v>
      </c>
      <c r="B536" s="1" t="s">
        <v>14</v>
      </c>
      <c r="C536">
        <v>29383.979062790298</v>
      </c>
      <c r="D536">
        <v>10</v>
      </c>
      <c r="E536" s="2">
        <v>45268</v>
      </c>
      <c r="F536" s="1">
        <v>141</v>
      </c>
      <c r="G536" s="1">
        <v>34</v>
      </c>
      <c r="H536" s="1" t="s">
        <v>15</v>
      </c>
      <c r="I536" s="1" t="s">
        <v>23</v>
      </c>
      <c r="J536" s="1" t="s">
        <v>34</v>
      </c>
      <c r="K536" s="1" t="s">
        <v>18</v>
      </c>
      <c r="L536" s="5" t="s">
        <v>54</v>
      </c>
      <c r="M536" s="1" t="s">
        <v>20</v>
      </c>
      <c r="N536" s="1" t="str">
        <f>YEAR(sales_data[[#This Row],[Date]]) &amp; "-" &amp; TEXT(MONTH(sales_data[[#This Row],[Date]]), "00")</f>
        <v>2023-12</v>
      </c>
      <c r="O536" s="1">
        <f xml:space="preserve"> (sales_data[[#This Row],[Sales]]* (100 - sales_data[[#This Row],[Discount]]))/100</f>
        <v>26445.581156511271</v>
      </c>
    </row>
    <row r="537" spans="1:15" x14ac:dyDescent="0.5">
      <c r="A537" s="1" t="s">
        <v>770</v>
      </c>
      <c r="B537" s="1" t="s">
        <v>29</v>
      </c>
      <c r="C537">
        <v>21087.164365898599</v>
      </c>
      <c r="D537">
        <v>10</v>
      </c>
      <c r="E537" s="2">
        <v>45269</v>
      </c>
      <c r="F537" s="1">
        <v>182</v>
      </c>
      <c r="G537" s="1">
        <v>18</v>
      </c>
      <c r="H537" s="1" t="s">
        <v>15</v>
      </c>
      <c r="I537" s="1" t="s">
        <v>33</v>
      </c>
      <c r="J537" s="1" t="s">
        <v>34</v>
      </c>
      <c r="K537" s="1" t="s">
        <v>18</v>
      </c>
      <c r="L537" s="5" t="s">
        <v>85</v>
      </c>
      <c r="M537" s="1" t="s">
        <v>48</v>
      </c>
      <c r="N537" s="1" t="str">
        <f>YEAR(sales_data[[#This Row],[Date]]) &amp; "-" &amp; TEXT(MONTH(sales_data[[#This Row],[Date]]), "00")</f>
        <v>2023-12</v>
      </c>
      <c r="O537" s="1">
        <f xml:space="preserve"> (sales_data[[#This Row],[Sales]]* (100 - sales_data[[#This Row],[Discount]]))/100</f>
        <v>18978.447929308739</v>
      </c>
    </row>
    <row r="538" spans="1:15" x14ac:dyDescent="0.5">
      <c r="A538" s="1" t="s">
        <v>937</v>
      </c>
      <c r="B538" s="1" t="s">
        <v>29</v>
      </c>
      <c r="C538">
        <v>20960.245582450101</v>
      </c>
      <c r="D538">
        <v>0</v>
      </c>
      <c r="E538" s="2">
        <v>45270</v>
      </c>
      <c r="F538" s="1">
        <v>186</v>
      </c>
      <c r="G538" s="1">
        <v>45</v>
      </c>
      <c r="H538" s="1" t="s">
        <v>15</v>
      </c>
      <c r="I538" s="1" t="s">
        <v>16</v>
      </c>
      <c r="J538" s="1" t="s">
        <v>34</v>
      </c>
      <c r="K538" s="1" t="s">
        <v>35</v>
      </c>
      <c r="L538" s="5" t="s">
        <v>43</v>
      </c>
      <c r="M538" s="1" t="s">
        <v>27</v>
      </c>
      <c r="N538" s="1" t="str">
        <f>YEAR(sales_data[[#This Row],[Date]]) &amp; "-" &amp; TEXT(MONTH(sales_data[[#This Row],[Date]]), "00")</f>
        <v>2023-12</v>
      </c>
      <c r="O538" s="1">
        <f xml:space="preserve"> (sales_data[[#This Row],[Sales]]* (100 - sales_data[[#This Row],[Discount]]))/100</f>
        <v>20960.245582450101</v>
      </c>
    </row>
    <row r="539" spans="1:15" x14ac:dyDescent="0.5">
      <c r="A539" s="1" t="s">
        <v>156</v>
      </c>
      <c r="B539" s="1" t="s">
        <v>14</v>
      </c>
      <c r="C539">
        <v>19048.306609581901</v>
      </c>
      <c r="D539">
        <v>10</v>
      </c>
      <c r="E539" s="2">
        <v>45271</v>
      </c>
      <c r="F539" s="1">
        <v>192</v>
      </c>
      <c r="G539" s="1">
        <v>72</v>
      </c>
      <c r="H539" s="1" t="s">
        <v>15</v>
      </c>
      <c r="I539" s="1" t="s">
        <v>33</v>
      </c>
      <c r="J539" s="1" t="s">
        <v>24</v>
      </c>
      <c r="K539" s="1" t="s">
        <v>35</v>
      </c>
      <c r="L539" s="5" t="s">
        <v>58</v>
      </c>
      <c r="M539" s="1" t="s">
        <v>20</v>
      </c>
      <c r="N539" s="1" t="str">
        <f>YEAR(sales_data[[#This Row],[Date]]) &amp; "-" &amp; TEXT(MONTH(sales_data[[#This Row],[Date]]), "00")</f>
        <v>2023-12</v>
      </c>
      <c r="O539" s="1">
        <f xml:space="preserve"> (sales_data[[#This Row],[Sales]]* (100 - sales_data[[#This Row],[Discount]]))/100</f>
        <v>17143.475948623713</v>
      </c>
    </row>
    <row r="540" spans="1:15" x14ac:dyDescent="0.5">
      <c r="A540" s="1" t="s">
        <v>901</v>
      </c>
      <c r="B540" s="1" t="s">
        <v>14</v>
      </c>
      <c r="C540">
        <v>17091.595430256701</v>
      </c>
      <c r="D540">
        <v>15</v>
      </c>
      <c r="E540" s="2">
        <v>45272</v>
      </c>
      <c r="F540" s="1">
        <v>112</v>
      </c>
      <c r="G540" s="1">
        <v>20</v>
      </c>
      <c r="H540" s="1" t="s">
        <v>15</v>
      </c>
      <c r="I540" s="1" t="s">
        <v>16</v>
      </c>
      <c r="J540" s="1" t="s">
        <v>17</v>
      </c>
      <c r="K540" s="1" t="s">
        <v>25</v>
      </c>
      <c r="L540" s="5" t="s">
        <v>19</v>
      </c>
      <c r="M540" s="1" t="s">
        <v>44</v>
      </c>
      <c r="N540" s="1" t="str">
        <f>YEAR(sales_data[[#This Row],[Date]]) &amp; "-" &amp; TEXT(MONTH(sales_data[[#This Row],[Date]]), "00")</f>
        <v>2023-12</v>
      </c>
      <c r="O540" s="1">
        <f xml:space="preserve"> (sales_data[[#This Row],[Sales]]* (100 - sales_data[[#This Row],[Discount]]))/100</f>
        <v>14527.856115718196</v>
      </c>
    </row>
    <row r="541" spans="1:15" x14ac:dyDescent="0.5">
      <c r="A541" s="1" t="s">
        <v>173</v>
      </c>
      <c r="B541" s="1" t="s">
        <v>22</v>
      </c>
      <c r="C541">
        <v>17116.1433471583</v>
      </c>
      <c r="D541">
        <v>15</v>
      </c>
      <c r="E541" s="2">
        <v>45273</v>
      </c>
      <c r="F541" s="1">
        <v>161</v>
      </c>
      <c r="G541" s="1">
        <v>12</v>
      </c>
      <c r="H541" s="1" t="s">
        <v>15</v>
      </c>
      <c r="I541" s="1" t="s">
        <v>16</v>
      </c>
      <c r="J541" s="1" t="s">
        <v>24</v>
      </c>
      <c r="K541" s="1" t="s">
        <v>25</v>
      </c>
      <c r="L541" s="5" t="s">
        <v>19</v>
      </c>
      <c r="M541" s="1" t="s">
        <v>31</v>
      </c>
      <c r="N541" s="1" t="str">
        <f>YEAR(sales_data[[#This Row],[Date]]) &amp; "-" &amp; TEXT(MONTH(sales_data[[#This Row],[Date]]), "00")</f>
        <v>2023-12</v>
      </c>
      <c r="O541" s="1">
        <f xml:space="preserve"> (sales_data[[#This Row],[Sales]]* (100 - sales_data[[#This Row],[Discount]]))/100</f>
        <v>14548.721845084554</v>
      </c>
    </row>
    <row r="542" spans="1:15" x14ac:dyDescent="0.5">
      <c r="A542" s="1" t="s">
        <v>245</v>
      </c>
      <c r="B542" s="1" t="s">
        <v>14</v>
      </c>
      <c r="C542">
        <v>17703.195502298699</v>
      </c>
      <c r="D542">
        <v>0</v>
      </c>
      <c r="E542" s="2">
        <v>45273</v>
      </c>
      <c r="F542" s="1">
        <v>168</v>
      </c>
      <c r="G542" s="1">
        <v>38</v>
      </c>
      <c r="H542" s="1" t="s">
        <v>15</v>
      </c>
      <c r="I542" s="1" t="s">
        <v>16</v>
      </c>
      <c r="J542" s="1" t="s">
        <v>17</v>
      </c>
      <c r="K542" s="1" t="s">
        <v>35</v>
      </c>
      <c r="L542" s="5" t="s">
        <v>36</v>
      </c>
      <c r="M542" s="1" t="s">
        <v>27</v>
      </c>
      <c r="N542" s="1" t="str">
        <f>YEAR(sales_data[[#This Row],[Date]]) &amp; "-" &amp; TEXT(MONTH(sales_data[[#This Row],[Date]]), "00")</f>
        <v>2023-12</v>
      </c>
      <c r="O542" s="1">
        <f xml:space="preserve"> (sales_data[[#This Row],[Sales]]* (100 - sales_data[[#This Row],[Discount]]))/100</f>
        <v>17703.195502298699</v>
      </c>
    </row>
    <row r="543" spans="1:15" x14ac:dyDescent="0.5">
      <c r="A543" s="1" t="s">
        <v>898</v>
      </c>
      <c r="B543" s="1" t="s">
        <v>14</v>
      </c>
      <c r="C543">
        <v>28141.983115642601</v>
      </c>
      <c r="D543">
        <v>5</v>
      </c>
      <c r="E543" s="2">
        <v>45273</v>
      </c>
      <c r="F543" s="1">
        <v>126</v>
      </c>
      <c r="G543" s="1">
        <v>79</v>
      </c>
      <c r="H543" s="1" t="s">
        <v>15</v>
      </c>
      <c r="I543" s="1" t="s">
        <v>23</v>
      </c>
      <c r="J543" s="1" t="s">
        <v>17</v>
      </c>
      <c r="K543" s="1" t="s">
        <v>18</v>
      </c>
      <c r="L543" s="5" t="s">
        <v>36</v>
      </c>
      <c r="M543" s="1" t="s">
        <v>31</v>
      </c>
      <c r="N543" s="1" t="str">
        <f>YEAR(sales_data[[#This Row],[Date]]) &amp; "-" &amp; TEXT(MONTH(sales_data[[#This Row],[Date]]), "00")</f>
        <v>2023-12</v>
      </c>
      <c r="O543" s="1">
        <f xml:space="preserve"> (sales_data[[#This Row],[Sales]]* (100 - sales_data[[#This Row],[Discount]]))/100</f>
        <v>26734.883959860472</v>
      </c>
    </row>
    <row r="544" spans="1:15" x14ac:dyDescent="0.5">
      <c r="A544" s="1" t="s">
        <v>700</v>
      </c>
      <c r="B544" s="1" t="s">
        <v>29</v>
      </c>
      <c r="C544">
        <v>17705.578685655299</v>
      </c>
      <c r="D544">
        <v>0</v>
      </c>
      <c r="E544" s="2">
        <v>45275</v>
      </c>
      <c r="F544" s="1">
        <v>141</v>
      </c>
      <c r="G544" s="1">
        <v>94</v>
      </c>
      <c r="H544" s="1" t="s">
        <v>15</v>
      </c>
      <c r="I544" s="1" t="s">
        <v>33</v>
      </c>
      <c r="J544" s="1" t="s">
        <v>34</v>
      </c>
      <c r="K544" s="1" t="s">
        <v>18</v>
      </c>
      <c r="L544" s="5" t="s">
        <v>46</v>
      </c>
      <c r="M544" s="1" t="s">
        <v>48</v>
      </c>
      <c r="N544" s="1" t="str">
        <f>YEAR(sales_data[[#This Row],[Date]]) &amp; "-" &amp; TEXT(MONTH(sales_data[[#This Row],[Date]]), "00")</f>
        <v>2023-12</v>
      </c>
      <c r="O544" s="1">
        <f xml:space="preserve"> (sales_data[[#This Row],[Sales]]* (100 - sales_data[[#This Row],[Discount]]))/100</f>
        <v>17705.578685655299</v>
      </c>
    </row>
    <row r="545" spans="1:15" x14ac:dyDescent="0.5">
      <c r="A545" s="1" t="s">
        <v>250</v>
      </c>
      <c r="B545" s="1" t="s">
        <v>29</v>
      </c>
      <c r="C545">
        <v>17611.712766174402</v>
      </c>
      <c r="D545">
        <v>15</v>
      </c>
      <c r="E545" s="2">
        <v>45276</v>
      </c>
      <c r="F545" s="1">
        <v>174</v>
      </c>
      <c r="G545" s="1">
        <v>39</v>
      </c>
      <c r="H545" s="1" t="s">
        <v>15</v>
      </c>
      <c r="I545" s="1" t="s">
        <v>33</v>
      </c>
      <c r="J545" s="1" t="s">
        <v>24</v>
      </c>
      <c r="K545" s="1" t="s">
        <v>25</v>
      </c>
      <c r="L545" s="5" t="s">
        <v>58</v>
      </c>
      <c r="M545" s="1" t="s">
        <v>41</v>
      </c>
      <c r="N545" s="1" t="str">
        <f>YEAR(sales_data[[#This Row],[Date]]) &amp; "-" &amp; TEXT(MONTH(sales_data[[#This Row],[Date]]), "00")</f>
        <v>2023-12</v>
      </c>
      <c r="O545" s="1">
        <f xml:space="preserve"> (sales_data[[#This Row],[Sales]]* (100 - sales_data[[#This Row],[Discount]]))/100</f>
        <v>14969.955851248242</v>
      </c>
    </row>
    <row r="546" spans="1:15" x14ac:dyDescent="0.5">
      <c r="A546" s="1" t="s">
        <v>750</v>
      </c>
      <c r="B546" s="1" t="s">
        <v>29</v>
      </c>
      <c r="C546">
        <v>19813.888817450701</v>
      </c>
      <c r="D546">
        <v>0</v>
      </c>
      <c r="E546" s="2">
        <v>45276</v>
      </c>
      <c r="F546" s="1">
        <v>108</v>
      </c>
      <c r="G546" s="1">
        <v>37</v>
      </c>
      <c r="H546" s="1" t="s">
        <v>15</v>
      </c>
      <c r="I546" s="1" t="s">
        <v>23</v>
      </c>
      <c r="J546" s="1" t="s">
        <v>34</v>
      </c>
      <c r="K546" s="1" t="s">
        <v>18</v>
      </c>
      <c r="L546" s="5" t="s">
        <v>46</v>
      </c>
      <c r="M546" s="1" t="s">
        <v>20</v>
      </c>
      <c r="N546" s="1" t="str">
        <f>YEAR(sales_data[[#This Row],[Date]]) &amp; "-" &amp; TEXT(MONTH(sales_data[[#This Row],[Date]]), "00")</f>
        <v>2023-12</v>
      </c>
      <c r="O546" s="1">
        <f xml:space="preserve"> (sales_data[[#This Row],[Sales]]* (100 - sales_data[[#This Row],[Discount]]))/100</f>
        <v>19813.888817450701</v>
      </c>
    </row>
    <row r="547" spans="1:15" x14ac:dyDescent="0.5">
      <c r="A547" s="1" t="s">
        <v>1038</v>
      </c>
      <c r="B547" s="1" t="s">
        <v>22</v>
      </c>
      <c r="C547">
        <v>29130.048567734601</v>
      </c>
      <c r="D547">
        <v>10</v>
      </c>
      <c r="E547" s="2">
        <v>45276</v>
      </c>
      <c r="F547" s="1">
        <v>126</v>
      </c>
      <c r="G547" s="1">
        <v>98</v>
      </c>
      <c r="H547" s="1" t="s">
        <v>15</v>
      </c>
      <c r="I547" s="1" t="s">
        <v>16</v>
      </c>
      <c r="J547" s="1" t="s">
        <v>17</v>
      </c>
      <c r="K547" s="1" t="s">
        <v>35</v>
      </c>
      <c r="L547" s="5" t="s">
        <v>19</v>
      </c>
      <c r="M547" s="1" t="s">
        <v>48</v>
      </c>
      <c r="N547" s="1" t="str">
        <f>YEAR(sales_data[[#This Row],[Date]]) &amp; "-" &amp; TEXT(MONTH(sales_data[[#This Row],[Date]]), "00")</f>
        <v>2023-12</v>
      </c>
      <c r="O547" s="1">
        <f xml:space="preserve"> (sales_data[[#This Row],[Sales]]* (100 - sales_data[[#This Row],[Discount]]))/100</f>
        <v>26217.043710961141</v>
      </c>
    </row>
    <row r="548" spans="1:15" x14ac:dyDescent="0.5">
      <c r="A548" s="1" t="s">
        <v>796</v>
      </c>
      <c r="B548" s="1" t="s">
        <v>29</v>
      </c>
      <c r="C548">
        <v>13861.960924315001</v>
      </c>
      <c r="D548">
        <v>0</v>
      </c>
      <c r="E548" s="2">
        <v>45277</v>
      </c>
      <c r="F548" s="1">
        <v>132</v>
      </c>
      <c r="G548" s="1">
        <v>75</v>
      </c>
      <c r="H548" s="1" t="s">
        <v>15</v>
      </c>
      <c r="I548" s="1" t="s">
        <v>16</v>
      </c>
      <c r="J548" s="1" t="s">
        <v>34</v>
      </c>
      <c r="K548" s="1" t="s">
        <v>18</v>
      </c>
      <c r="L548" s="5" t="s">
        <v>43</v>
      </c>
      <c r="M548" s="1" t="s">
        <v>44</v>
      </c>
      <c r="N548" s="1" t="str">
        <f>YEAR(sales_data[[#This Row],[Date]]) &amp; "-" &amp; TEXT(MONTH(sales_data[[#This Row],[Date]]), "00")</f>
        <v>2023-12</v>
      </c>
      <c r="O548" s="1">
        <f xml:space="preserve"> (sales_data[[#This Row],[Sales]]* (100 - sales_data[[#This Row],[Discount]]))/100</f>
        <v>13861.960924315001</v>
      </c>
    </row>
    <row r="549" spans="1:15" x14ac:dyDescent="0.5">
      <c r="A549" s="1" t="s">
        <v>70</v>
      </c>
      <c r="B549" s="1" t="s">
        <v>50</v>
      </c>
      <c r="C549">
        <v>12329.4291463218</v>
      </c>
      <c r="D549">
        <v>0</v>
      </c>
      <c r="E549" s="2">
        <v>45278</v>
      </c>
      <c r="F549" s="1">
        <v>153</v>
      </c>
      <c r="G549" s="1">
        <v>65</v>
      </c>
      <c r="H549" s="1" t="s">
        <v>15</v>
      </c>
      <c r="I549" s="1" t="s">
        <v>33</v>
      </c>
      <c r="J549" s="1" t="s">
        <v>17</v>
      </c>
      <c r="K549" s="1" t="s">
        <v>35</v>
      </c>
      <c r="L549" s="5" t="s">
        <v>46</v>
      </c>
      <c r="M549" s="1" t="s">
        <v>31</v>
      </c>
      <c r="N549" s="1" t="str">
        <f>YEAR(sales_data[[#This Row],[Date]]) &amp; "-" &amp; TEXT(MONTH(sales_data[[#This Row],[Date]]), "00")</f>
        <v>2023-12</v>
      </c>
      <c r="O549" s="1">
        <f xml:space="preserve"> (sales_data[[#This Row],[Sales]]* (100 - sales_data[[#This Row],[Discount]]))/100</f>
        <v>12329.4291463218</v>
      </c>
    </row>
    <row r="550" spans="1:15" x14ac:dyDescent="0.5">
      <c r="A550" s="1" t="s">
        <v>500</v>
      </c>
      <c r="B550" s="1" t="s">
        <v>14</v>
      </c>
      <c r="C550">
        <v>23374.097460833</v>
      </c>
      <c r="D550">
        <v>5</v>
      </c>
      <c r="E550" s="2">
        <v>45278</v>
      </c>
      <c r="F550" s="1">
        <v>154</v>
      </c>
      <c r="G550" s="1">
        <v>94</v>
      </c>
      <c r="H550" s="1" t="s">
        <v>15</v>
      </c>
      <c r="I550" s="1" t="s">
        <v>16</v>
      </c>
      <c r="J550" s="1" t="s">
        <v>34</v>
      </c>
      <c r="K550" s="1" t="s">
        <v>25</v>
      </c>
      <c r="L550" s="5" t="s">
        <v>85</v>
      </c>
      <c r="M550" s="1" t="s">
        <v>48</v>
      </c>
      <c r="N550" s="1" t="str">
        <f>YEAR(sales_data[[#This Row],[Date]]) &amp; "-" &amp; TEXT(MONTH(sales_data[[#This Row],[Date]]), "00")</f>
        <v>2023-12</v>
      </c>
      <c r="O550" s="1">
        <f xml:space="preserve"> (sales_data[[#This Row],[Sales]]* (100 - sales_data[[#This Row],[Discount]]))/100</f>
        <v>22205.39258779135</v>
      </c>
    </row>
    <row r="551" spans="1:15" x14ac:dyDescent="0.5">
      <c r="A551" s="1" t="s">
        <v>559</v>
      </c>
      <c r="B551" s="1" t="s">
        <v>50</v>
      </c>
      <c r="C551">
        <v>21843.3665443645</v>
      </c>
      <c r="D551">
        <v>5</v>
      </c>
      <c r="E551" s="2">
        <v>45278</v>
      </c>
      <c r="F551" s="1">
        <v>118</v>
      </c>
      <c r="G551" s="1">
        <v>49</v>
      </c>
      <c r="H551" s="1" t="s">
        <v>15</v>
      </c>
      <c r="I551" s="1" t="s">
        <v>23</v>
      </c>
      <c r="J551" s="1" t="s">
        <v>34</v>
      </c>
      <c r="K551" s="1" t="s">
        <v>25</v>
      </c>
      <c r="L551" s="5" t="s">
        <v>46</v>
      </c>
      <c r="M551" s="1" t="s">
        <v>55</v>
      </c>
      <c r="N551" s="1" t="str">
        <f>YEAR(sales_data[[#This Row],[Date]]) &amp; "-" &amp; TEXT(MONTH(sales_data[[#This Row],[Date]]), "00")</f>
        <v>2023-12</v>
      </c>
      <c r="O551" s="1">
        <f xml:space="preserve"> (sales_data[[#This Row],[Sales]]* (100 - sales_data[[#This Row],[Discount]]))/100</f>
        <v>20751.198217146277</v>
      </c>
    </row>
    <row r="552" spans="1:15" x14ac:dyDescent="0.5">
      <c r="A552" s="1" t="s">
        <v>711</v>
      </c>
      <c r="B552" s="1" t="s">
        <v>50</v>
      </c>
      <c r="C552">
        <v>22470.150931413598</v>
      </c>
      <c r="D552">
        <v>0</v>
      </c>
      <c r="E552" s="2">
        <v>45278</v>
      </c>
      <c r="F552" s="1">
        <v>132</v>
      </c>
      <c r="G552" s="1">
        <v>12</v>
      </c>
      <c r="H552" s="1" t="s">
        <v>38</v>
      </c>
      <c r="I552" s="1" t="s">
        <v>16</v>
      </c>
      <c r="J552" s="1" t="s">
        <v>24</v>
      </c>
      <c r="K552" s="1" t="s">
        <v>18</v>
      </c>
      <c r="L552" s="5" t="s">
        <v>46</v>
      </c>
      <c r="M552" s="1" t="s">
        <v>20</v>
      </c>
      <c r="N552" s="1" t="str">
        <f>YEAR(sales_data[[#This Row],[Date]]) &amp; "-" &amp; TEXT(MONTH(sales_data[[#This Row],[Date]]), "00")</f>
        <v>2023-12</v>
      </c>
      <c r="O552" s="1">
        <f xml:space="preserve"> (sales_data[[#This Row],[Sales]]* (100 - sales_data[[#This Row],[Discount]]))/100</f>
        <v>22470.150931413598</v>
      </c>
    </row>
    <row r="553" spans="1:15" x14ac:dyDescent="0.5">
      <c r="A553" s="1" t="s">
        <v>841</v>
      </c>
      <c r="B553" s="1" t="s">
        <v>29</v>
      </c>
      <c r="C553">
        <v>24591.583030011501</v>
      </c>
      <c r="D553">
        <v>10</v>
      </c>
      <c r="E553" s="2">
        <v>45279</v>
      </c>
      <c r="F553" s="1">
        <v>158</v>
      </c>
      <c r="G553" s="1">
        <v>28</v>
      </c>
      <c r="H553" s="1" t="s">
        <v>15</v>
      </c>
      <c r="I553" s="1" t="s">
        <v>33</v>
      </c>
      <c r="J553" s="1" t="s">
        <v>17</v>
      </c>
      <c r="K553" s="1" t="s">
        <v>18</v>
      </c>
      <c r="L553" s="5" t="s">
        <v>19</v>
      </c>
      <c r="M553" s="1" t="s">
        <v>41</v>
      </c>
      <c r="N553" s="1" t="str">
        <f>YEAR(sales_data[[#This Row],[Date]]) &amp; "-" &amp; TEXT(MONTH(sales_data[[#This Row],[Date]]), "00")</f>
        <v>2023-12</v>
      </c>
      <c r="O553" s="1">
        <f xml:space="preserve"> (sales_data[[#This Row],[Sales]]* (100 - sales_data[[#This Row],[Discount]]))/100</f>
        <v>22132.424727010351</v>
      </c>
    </row>
    <row r="554" spans="1:15" x14ac:dyDescent="0.5">
      <c r="A554" s="1" t="s">
        <v>929</v>
      </c>
      <c r="B554" s="1" t="s">
        <v>22</v>
      </c>
      <c r="C554">
        <v>25456.5506029713</v>
      </c>
      <c r="D554">
        <v>15</v>
      </c>
      <c r="E554" s="2">
        <v>45280</v>
      </c>
      <c r="F554" s="1">
        <v>190</v>
      </c>
      <c r="G554" s="1">
        <v>81</v>
      </c>
      <c r="H554" s="1" t="s">
        <v>15</v>
      </c>
      <c r="I554" s="1" t="s">
        <v>33</v>
      </c>
      <c r="J554" s="1" t="s">
        <v>34</v>
      </c>
      <c r="K554" s="1" t="s">
        <v>35</v>
      </c>
      <c r="L554" s="5" t="s">
        <v>54</v>
      </c>
      <c r="M554" s="1" t="s">
        <v>48</v>
      </c>
      <c r="N554" s="1" t="str">
        <f>YEAR(sales_data[[#This Row],[Date]]) &amp; "-" &amp; TEXT(MONTH(sales_data[[#This Row],[Date]]), "00")</f>
        <v>2023-12</v>
      </c>
      <c r="O554" s="1">
        <f xml:space="preserve"> (sales_data[[#This Row],[Sales]]* (100 - sales_data[[#This Row],[Discount]]))/100</f>
        <v>21638.068012525608</v>
      </c>
    </row>
    <row r="555" spans="1:15" x14ac:dyDescent="0.5">
      <c r="A555" s="1" t="s">
        <v>218</v>
      </c>
      <c r="B555" s="1" t="s">
        <v>22</v>
      </c>
      <c r="C555">
        <v>17895.077595898601</v>
      </c>
      <c r="D555">
        <v>15</v>
      </c>
      <c r="E555" s="2">
        <v>45281</v>
      </c>
      <c r="F555" s="1">
        <v>164</v>
      </c>
      <c r="G555" s="1">
        <v>17</v>
      </c>
      <c r="H555" s="1" t="s">
        <v>38</v>
      </c>
      <c r="I555" s="1" t="s">
        <v>33</v>
      </c>
      <c r="J555" s="1" t="s">
        <v>34</v>
      </c>
      <c r="K555" s="1" t="s">
        <v>18</v>
      </c>
      <c r="L555" s="5" t="s">
        <v>85</v>
      </c>
      <c r="M555" s="1" t="s">
        <v>27</v>
      </c>
      <c r="N555" s="1" t="str">
        <f>YEAR(sales_data[[#This Row],[Date]]) &amp; "-" &amp; TEXT(MONTH(sales_data[[#This Row],[Date]]), "00")</f>
        <v>2023-12</v>
      </c>
      <c r="O555" s="1">
        <f xml:space="preserve"> (sales_data[[#This Row],[Sales]]* (100 - sales_data[[#This Row],[Discount]]))/100</f>
        <v>15210.815956513812</v>
      </c>
    </row>
    <row r="556" spans="1:15" x14ac:dyDescent="0.5">
      <c r="A556" s="1" t="s">
        <v>377</v>
      </c>
      <c r="B556" s="1" t="s">
        <v>22</v>
      </c>
      <c r="C556">
        <v>18181.9389389307</v>
      </c>
      <c r="D556">
        <v>15</v>
      </c>
      <c r="E556" s="2">
        <v>45281</v>
      </c>
      <c r="F556" s="1">
        <v>144</v>
      </c>
      <c r="G556" s="1">
        <v>8</v>
      </c>
      <c r="H556" s="1" t="s">
        <v>15</v>
      </c>
      <c r="I556" s="1" t="s">
        <v>16</v>
      </c>
      <c r="J556" s="1" t="s">
        <v>17</v>
      </c>
      <c r="K556" s="1" t="s">
        <v>18</v>
      </c>
      <c r="L556" s="5" t="s">
        <v>58</v>
      </c>
      <c r="M556" s="1" t="s">
        <v>20</v>
      </c>
      <c r="N556" s="1" t="str">
        <f>YEAR(sales_data[[#This Row],[Date]]) &amp; "-" &amp; TEXT(MONTH(sales_data[[#This Row],[Date]]), "00")</f>
        <v>2023-12</v>
      </c>
      <c r="O556" s="1">
        <f xml:space="preserve"> (sales_data[[#This Row],[Sales]]* (100 - sales_data[[#This Row],[Discount]]))/100</f>
        <v>15454.648098091095</v>
      </c>
    </row>
    <row r="557" spans="1:15" x14ac:dyDescent="0.5">
      <c r="A557" s="1" t="s">
        <v>821</v>
      </c>
      <c r="B557" s="1" t="s">
        <v>29</v>
      </c>
      <c r="C557">
        <v>0</v>
      </c>
      <c r="D557">
        <v>0</v>
      </c>
      <c r="E557" s="2">
        <v>45281</v>
      </c>
      <c r="F557" s="1">
        <v>105</v>
      </c>
      <c r="G557" s="1">
        <v>83</v>
      </c>
      <c r="H557" s="1" t="s">
        <v>15</v>
      </c>
      <c r="I557" s="1" t="s">
        <v>23</v>
      </c>
      <c r="J557" s="1" t="s">
        <v>34</v>
      </c>
      <c r="K557" s="1" t="s">
        <v>35</v>
      </c>
      <c r="L557" s="5" t="s">
        <v>19</v>
      </c>
      <c r="M557" s="1" t="s">
        <v>20</v>
      </c>
      <c r="N557" s="1" t="str">
        <f>YEAR(sales_data[[#This Row],[Date]]) &amp; "-" &amp; TEXT(MONTH(sales_data[[#This Row],[Date]]), "00")</f>
        <v>2023-12</v>
      </c>
      <c r="O557" s="1">
        <f xml:space="preserve"> (sales_data[[#This Row],[Sales]]* (100 - sales_data[[#This Row],[Discount]]))/100</f>
        <v>0</v>
      </c>
    </row>
    <row r="558" spans="1:15" x14ac:dyDescent="0.5">
      <c r="A558" s="1" t="s">
        <v>588</v>
      </c>
      <c r="B558" s="1" t="s">
        <v>50</v>
      </c>
      <c r="C558">
        <v>19671.248694635</v>
      </c>
      <c r="D558">
        <v>15</v>
      </c>
      <c r="E558" s="2">
        <v>45282</v>
      </c>
      <c r="F558" s="1">
        <v>146</v>
      </c>
      <c r="G558" s="1">
        <v>66</v>
      </c>
      <c r="H558" s="1" t="s">
        <v>15</v>
      </c>
      <c r="I558" s="1" t="s">
        <v>23</v>
      </c>
      <c r="J558" s="1" t="s">
        <v>17</v>
      </c>
      <c r="K558" s="1" t="s">
        <v>35</v>
      </c>
      <c r="L558" s="5" t="s">
        <v>54</v>
      </c>
      <c r="M558" s="1" t="s">
        <v>44</v>
      </c>
      <c r="N558" s="1" t="str">
        <f>YEAR(sales_data[[#This Row],[Date]]) &amp; "-" &amp; TEXT(MONTH(sales_data[[#This Row],[Date]]), "00")</f>
        <v>2023-12</v>
      </c>
      <c r="O558" s="1">
        <f xml:space="preserve"> (sales_data[[#This Row],[Sales]]* (100 - sales_data[[#This Row],[Discount]]))/100</f>
        <v>16720.561390439751</v>
      </c>
    </row>
    <row r="559" spans="1:15" x14ac:dyDescent="0.5">
      <c r="A559" s="1" t="s">
        <v>899</v>
      </c>
      <c r="B559" s="1" t="s">
        <v>14</v>
      </c>
      <c r="C559">
        <v>18104.361295062499</v>
      </c>
      <c r="D559">
        <v>15</v>
      </c>
      <c r="E559" s="2">
        <v>45282</v>
      </c>
      <c r="F559" s="1">
        <v>192</v>
      </c>
      <c r="G559" s="1">
        <v>12</v>
      </c>
      <c r="H559" s="1" t="s">
        <v>38</v>
      </c>
      <c r="I559" s="1" t="s">
        <v>16</v>
      </c>
      <c r="J559" s="1" t="s">
        <v>17</v>
      </c>
      <c r="K559" s="1" t="s">
        <v>35</v>
      </c>
      <c r="L559" s="5" t="s">
        <v>54</v>
      </c>
      <c r="M559" s="1" t="s">
        <v>31</v>
      </c>
      <c r="N559" s="1" t="str">
        <f>YEAR(sales_data[[#This Row],[Date]]) &amp; "-" &amp; TEXT(MONTH(sales_data[[#This Row],[Date]]), "00")</f>
        <v>2023-12</v>
      </c>
      <c r="O559" s="1">
        <f xml:space="preserve"> (sales_data[[#This Row],[Sales]]* (100 - sales_data[[#This Row],[Discount]]))/100</f>
        <v>15388.707100803123</v>
      </c>
    </row>
    <row r="560" spans="1:15" x14ac:dyDescent="0.5">
      <c r="A560" s="1" t="s">
        <v>157</v>
      </c>
      <c r="B560" s="1" t="s">
        <v>22</v>
      </c>
      <c r="C560">
        <v>15621.908733076199</v>
      </c>
      <c r="D560">
        <v>0</v>
      </c>
      <c r="E560" s="2">
        <v>45283</v>
      </c>
      <c r="F560" s="1">
        <v>137</v>
      </c>
      <c r="G560" s="1">
        <v>7</v>
      </c>
      <c r="H560" s="1" t="s">
        <v>15</v>
      </c>
      <c r="I560" s="1" t="s">
        <v>16</v>
      </c>
      <c r="J560" s="1" t="s">
        <v>17</v>
      </c>
      <c r="K560" s="1" t="s">
        <v>18</v>
      </c>
      <c r="L560" s="5" t="s">
        <v>46</v>
      </c>
      <c r="M560" s="1" t="s">
        <v>48</v>
      </c>
      <c r="N560" s="1" t="str">
        <f>YEAR(sales_data[[#This Row],[Date]]) &amp; "-" &amp; TEXT(MONTH(sales_data[[#This Row],[Date]]), "00")</f>
        <v>2023-12</v>
      </c>
      <c r="O560" s="1">
        <f xml:space="preserve"> (sales_data[[#This Row],[Sales]]* (100 - sales_data[[#This Row],[Discount]]))/100</f>
        <v>15621.908733076199</v>
      </c>
    </row>
    <row r="561" spans="1:15" x14ac:dyDescent="0.5">
      <c r="A561" s="1" t="s">
        <v>368</v>
      </c>
      <c r="B561" s="1" t="s">
        <v>50</v>
      </c>
      <c r="C561">
        <v>28482.281841450102</v>
      </c>
      <c r="D561">
        <v>10</v>
      </c>
      <c r="E561" s="2">
        <v>45283</v>
      </c>
      <c r="F561" s="1">
        <v>191</v>
      </c>
      <c r="G561" s="1">
        <v>36</v>
      </c>
      <c r="H561" s="1" t="s">
        <v>15</v>
      </c>
      <c r="I561" s="1" t="s">
        <v>23</v>
      </c>
      <c r="J561" s="1" t="s">
        <v>24</v>
      </c>
      <c r="K561" s="1" t="s">
        <v>18</v>
      </c>
      <c r="L561" s="5" t="s">
        <v>30</v>
      </c>
      <c r="M561" s="1" t="s">
        <v>27</v>
      </c>
      <c r="N561" s="1" t="str">
        <f>YEAR(sales_data[[#This Row],[Date]]) &amp; "-" &amp; TEXT(MONTH(sales_data[[#This Row],[Date]]), "00")</f>
        <v>2023-12</v>
      </c>
      <c r="O561" s="1">
        <f xml:space="preserve"> (sales_data[[#This Row],[Sales]]* (100 - sales_data[[#This Row],[Discount]]))/100</f>
        <v>25634.053657305092</v>
      </c>
    </row>
    <row r="562" spans="1:15" x14ac:dyDescent="0.5">
      <c r="A562" s="1" t="s">
        <v>154</v>
      </c>
      <c r="B562" s="1" t="s">
        <v>14</v>
      </c>
      <c r="C562">
        <v>22694.550218423199</v>
      </c>
      <c r="D562">
        <v>0</v>
      </c>
      <c r="E562" s="2">
        <v>45284</v>
      </c>
      <c r="F562" s="1">
        <v>126</v>
      </c>
      <c r="G562" s="1">
        <v>22</v>
      </c>
      <c r="H562" s="1" t="s">
        <v>15</v>
      </c>
      <c r="I562" s="1" t="s">
        <v>16</v>
      </c>
      <c r="J562" s="1" t="s">
        <v>24</v>
      </c>
      <c r="K562" s="1" t="s">
        <v>25</v>
      </c>
      <c r="L562" s="5" t="s">
        <v>30</v>
      </c>
      <c r="M562" s="1" t="s">
        <v>31</v>
      </c>
      <c r="N562" s="1" t="str">
        <f>YEAR(sales_data[[#This Row],[Date]]) &amp; "-" &amp; TEXT(MONTH(sales_data[[#This Row],[Date]]), "00")</f>
        <v>2023-12</v>
      </c>
      <c r="O562" s="1">
        <f xml:space="preserve"> (sales_data[[#This Row],[Sales]]* (100 - sales_data[[#This Row],[Discount]]))/100</f>
        <v>22694.550218423199</v>
      </c>
    </row>
    <row r="563" spans="1:15" x14ac:dyDescent="0.5">
      <c r="A563" s="1" t="s">
        <v>280</v>
      </c>
      <c r="B563" s="1" t="s">
        <v>22</v>
      </c>
      <c r="C563">
        <v>22357.341785679899</v>
      </c>
      <c r="D563">
        <v>0</v>
      </c>
      <c r="E563" s="2">
        <v>45285</v>
      </c>
      <c r="F563" s="1">
        <v>167</v>
      </c>
      <c r="G563" s="1">
        <v>68</v>
      </c>
      <c r="H563" s="1" t="s">
        <v>15</v>
      </c>
      <c r="I563" s="1" t="s">
        <v>23</v>
      </c>
      <c r="J563" s="1" t="s">
        <v>24</v>
      </c>
      <c r="K563" s="1" t="s">
        <v>18</v>
      </c>
      <c r="L563" s="5" t="s">
        <v>26</v>
      </c>
      <c r="M563" s="1" t="s">
        <v>55</v>
      </c>
      <c r="N563" s="1" t="str">
        <f>YEAR(sales_data[[#This Row],[Date]]) &amp; "-" &amp; TEXT(MONTH(sales_data[[#This Row],[Date]]), "00")</f>
        <v>2023-12</v>
      </c>
      <c r="O563" s="1">
        <f xml:space="preserve"> (sales_data[[#This Row],[Sales]]* (100 - sales_data[[#This Row],[Discount]]))/100</f>
        <v>22357.341785679899</v>
      </c>
    </row>
    <row r="564" spans="1:15" x14ac:dyDescent="0.5">
      <c r="A564" s="1" t="s">
        <v>536</v>
      </c>
      <c r="B564" s="1" t="s">
        <v>29</v>
      </c>
      <c r="C564">
        <v>21118.939758194399</v>
      </c>
      <c r="D564">
        <v>5</v>
      </c>
      <c r="E564" s="2">
        <v>45285</v>
      </c>
      <c r="F564" s="1">
        <v>178</v>
      </c>
      <c r="G564" s="1">
        <v>13</v>
      </c>
      <c r="H564" s="1" t="s">
        <v>15</v>
      </c>
      <c r="I564" s="1" t="s">
        <v>33</v>
      </c>
      <c r="J564" s="1" t="s">
        <v>17</v>
      </c>
      <c r="K564" s="1" t="s">
        <v>35</v>
      </c>
      <c r="L564" s="5" t="s">
        <v>58</v>
      </c>
      <c r="M564" s="1" t="s">
        <v>31</v>
      </c>
      <c r="N564" s="1" t="str">
        <f>YEAR(sales_data[[#This Row],[Date]]) &amp; "-" &amp; TEXT(MONTH(sales_data[[#This Row],[Date]]), "00")</f>
        <v>2023-12</v>
      </c>
      <c r="O564" s="1">
        <f xml:space="preserve"> (sales_data[[#This Row],[Sales]]* (100 - sales_data[[#This Row],[Discount]]))/100</f>
        <v>20062.99277028468</v>
      </c>
    </row>
    <row r="565" spans="1:15" x14ac:dyDescent="0.5">
      <c r="A565" s="1" t="s">
        <v>677</v>
      </c>
      <c r="B565" s="1" t="s">
        <v>29</v>
      </c>
      <c r="C565">
        <v>18398.2634590284</v>
      </c>
      <c r="D565">
        <v>10</v>
      </c>
      <c r="E565" s="2">
        <v>45285</v>
      </c>
      <c r="F565" s="1">
        <v>124</v>
      </c>
      <c r="G565" s="1">
        <v>95</v>
      </c>
      <c r="H565" s="1" t="s">
        <v>15</v>
      </c>
      <c r="I565" s="1" t="s">
        <v>23</v>
      </c>
      <c r="J565" s="1" t="s">
        <v>17</v>
      </c>
      <c r="K565" s="1" t="s">
        <v>35</v>
      </c>
      <c r="L565" s="5" t="s">
        <v>58</v>
      </c>
      <c r="M565" s="1" t="s">
        <v>48</v>
      </c>
      <c r="N565" s="1" t="str">
        <f>YEAR(sales_data[[#This Row],[Date]]) &amp; "-" &amp; TEXT(MONTH(sales_data[[#This Row],[Date]]), "00")</f>
        <v>2023-12</v>
      </c>
      <c r="O565" s="1">
        <f xml:space="preserve"> (sales_data[[#This Row],[Sales]]* (100 - sales_data[[#This Row],[Discount]]))/100</f>
        <v>16558.437113125561</v>
      </c>
    </row>
    <row r="566" spans="1:15" x14ac:dyDescent="0.5">
      <c r="A566" s="1" t="s">
        <v>537</v>
      </c>
      <c r="B566" s="1" t="s">
        <v>29</v>
      </c>
      <c r="C566">
        <v>19917.885519636198</v>
      </c>
      <c r="D566">
        <v>15</v>
      </c>
      <c r="E566" s="2">
        <v>45286</v>
      </c>
      <c r="F566" s="1">
        <v>156</v>
      </c>
      <c r="G566" s="1">
        <v>1</v>
      </c>
      <c r="H566" s="1" t="s">
        <v>38</v>
      </c>
      <c r="I566" s="1" t="s">
        <v>33</v>
      </c>
      <c r="J566" s="1" t="s">
        <v>34</v>
      </c>
      <c r="K566" s="1" t="s">
        <v>25</v>
      </c>
      <c r="L566" s="5" t="s">
        <v>36</v>
      </c>
      <c r="M566" s="1" t="s">
        <v>55</v>
      </c>
      <c r="N566" s="1" t="str">
        <f>YEAR(sales_data[[#This Row],[Date]]) &amp; "-" &amp; TEXT(MONTH(sales_data[[#This Row],[Date]]), "00")</f>
        <v>2023-12</v>
      </c>
      <c r="O566" s="1">
        <f xml:space="preserve"> (sales_data[[#This Row],[Sales]]* (100 - sales_data[[#This Row],[Discount]]))/100</f>
        <v>16930.202691690767</v>
      </c>
    </row>
    <row r="567" spans="1:15" x14ac:dyDescent="0.5">
      <c r="A567" s="1" t="s">
        <v>64</v>
      </c>
      <c r="B567" s="1" t="s">
        <v>50</v>
      </c>
      <c r="C567">
        <v>14661.897853087001</v>
      </c>
      <c r="D567">
        <v>15</v>
      </c>
      <c r="E567" s="2">
        <v>45287</v>
      </c>
      <c r="F567" s="1">
        <v>189</v>
      </c>
      <c r="G567" s="1">
        <v>17</v>
      </c>
      <c r="H567" s="1" t="s">
        <v>15</v>
      </c>
      <c r="I567" s="1" t="s">
        <v>16</v>
      </c>
      <c r="J567" s="1" t="s">
        <v>24</v>
      </c>
      <c r="K567" s="1" t="s">
        <v>35</v>
      </c>
      <c r="L567" s="5" t="s">
        <v>26</v>
      </c>
      <c r="M567" s="1" t="s">
        <v>44</v>
      </c>
      <c r="N567" s="1" t="str">
        <f>YEAR(sales_data[[#This Row],[Date]]) &amp; "-" &amp; TEXT(MONTH(sales_data[[#This Row],[Date]]), "00")</f>
        <v>2023-12</v>
      </c>
      <c r="O567" s="1">
        <f xml:space="preserve"> (sales_data[[#This Row],[Sales]]* (100 - sales_data[[#This Row],[Discount]]))/100</f>
        <v>12462.613175123952</v>
      </c>
    </row>
    <row r="568" spans="1:15" x14ac:dyDescent="0.5">
      <c r="A568" s="1" t="s">
        <v>194</v>
      </c>
      <c r="B568" s="1" t="s">
        <v>22</v>
      </c>
      <c r="C568">
        <v>0</v>
      </c>
      <c r="D568">
        <v>15</v>
      </c>
      <c r="E568" s="2">
        <v>45287</v>
      </c>
      <c r="F568" s="1">
        <v>166</v>
      </c>
      <c r="G568" s="1">
        <v>33</v>
      </c>
      <c r="H568" s="1" t="s">
        <v>15</v>
      </c>
      <c r="I568" s="1" t="s">
        <v>33</v>
      </c>
      <c r="J568" s="1" t="s">
        <v>34</v>
      </c>
      <c r="K568" s="1" t="s">
        <v>25</v>
      </c>
      <c r="L568" s="5" t="s">
        <v>36</v>
      </c>
      <c r="M568" s="1" t="s">
        <v>41</v>
      </c>
      <c r="N568" s="1" t="str">
        <f>YEAR(sales_data[[#This Row],[Date]]) &amp; "-" &amp; TEXT(MONTH(sales_data[[#This Row],[Date]]), "00")</f>
        <v>2023-12</v>
      </c>
      <c r="O568" s="1">
        <f xml:space="preserve"> (sales_data[[#This Row],[Sales]]* (100 - sales_data[[#This Row],[Discount]]))/100</f>
        <v>0</v>
      </c>
    </row>
    <row r="569" spans="1:15" x14ac:dyDescent="0.5">
      <c r="A569" s="1" t="s">
        <v>328</v>
      </c>
      <c r="B569" s="1" t="s">
        <v>14</v>
      </c>
      <c r="C569">
        <v>25457.534259612301</v>
      </c>
      <c r="D569">
        <v>5</v>
      </c>
      <c r="E569" s="2">
        <v>45287</v>
      </c>
      <c r="F569" s="1">
        <v>110</v>
      </c>
      <c r="G569" s="1">
        <v>73</v>
      </c>
      <c r="H569" s="1" t="s">
        <v>15</v>
      </c>
      <c r="I569" s="1" t="s">
        <v>23</v>
      </c>
      <c r="J569" s="1" t="s">
        <v>34</v>
      </c>
      <c r="K569" s="1" t="s">
        <v>35</v>
      </c>
      <c r="L569" s="5" t="s">
        <v>30</v>
      </c>
      <c r="M569" s="1" t="s">
        <v>55</v>
      </c>
      <c r="N569" s="1" t="str">
        <f>YEAR(sales_data[[#This Row],[Date]]) &amp; "-" &amp; TEXT(MONTH(sales_data[[#This Row],[Date]]), "00")</f>
        <v>2023-12</v>
      </c>
      <c r="O569" s="1">
        <f xml:space="preserve"> (sales_data[[#This Row],[Sales]]* (100 - sales_data[[#This Row],[Discount]]))/100</f>
        <v>24184.657546631686</v>
      </c>
    </row>
    <row r="570" spans="1:15" x14ac:dyDescent="0.5">
      <c r="A570" s="1" t="s">
        <v>382</v>
      </c>
      <c r="B570" s="1" t="s">
        <v>14</v>
      </c>
      <c r="C570">
        <v>23716.3204701135</v>
      </c>
      <c r="D570">
        <v>5</v>
      </c>
      <c r="E570" s="2">
        <v>45289</v>
      </c>
      <c r="F570" s="1">
        <v>171</v>
      </c>
      <c r="G570" s="1">
        <v>89</v>
      </c>
      <c r="H570" s="1" t="s">
        <v>15</v>
      </c>
      <c r="I570" s="1" t="s">
        <v>16</v>
      </c>
      <c r="J570" s="1" t="s">
        <v>24</v>
      </c>
      <c r="K570" s="1" t="s">
        <v>35</v>
      </c>
      <c r="L570" s="5" t="s">
        <v>19</v>
      </c>
      <c r="M570" s="1" t="s">
        <v>44</v>
      </c>
      <c r="N570" s="1" t="str">
        <f>YEAR(sales_data[[#This Row],[Date]]) &amp; "-" &amp; TEXT(MONTH(sales_data[[#This Row],[Date]]), "00")</f>
        <v>2023-12</v>
      </c>
      <c r="O570" s="1">
        <f xml:space="preserve"> (sales_data[[#This Row],[Sales]]* (100 - sales_data[[#This Row],[Discount]]))/100</f>
        <v>22530.504446607825</v>
      </c>
    </row>
    <row r="571" spans="1:15" x14ac:dyDescent="0.5">
      <c r="A571" s="1" t="s">
        <v>180</v>
      </c>
      <c r="B571" s="1" t="s">
        <v>29</v>
      </c>
      <c r="C571">
        <v>22716.8009618996</v>
      </c>
      <c r="D571">
        <v>0</v>
      </c>
      <c r="E571" s="2">
        <v>45291</v>
      </c>
      <c r="F571" s="1">
        <v>127</v>
      </c>
      <c r="G571" s="1">
        <v>78</v>
      </c>
      <c r="H571" s="1" t="s">
        <v>15</v>
      </c>
      <c r="I571" s="1" t="s">
        <v>33</v>
      </c>
      <c r="J571" s="1" t="s">
        <v>24</v>
      </c>
      <c r="K571" s="1" t="s">
        <v>35</v>
      </c>
      <c r="L571" s="5" t="s">
        <v>30</v>
      </c>
      <c r="M571" s="1" t="s">
        <v>20</v>
      </c>
      <c r="N571" s="1" t="str">
        <f>YEAR(sales_data[[#This Row],[Date]]) &amp; "-" &amp; TEXT(MONTH(sales_data[[#This Row],[Date]]), "00")</f>
        <v>2023-12</v>
      </c>
      <c r="O571" s="1">
        <f xml:space="preserve"> (sales_data[[#This Row],[Sales]]* (100 - sales_data[[#This Row],[Discount]]))/100</f>
        <v>22716.8009618996</v>
      </c>
    </row>
    <row r="572" spans="1:15" x14ac:dyDescent="0.5">
      <c r="A572" s="1" t="s">
        <v>494</v>
      </c>
      <c r="B572" s="1" t="s">
        <v>50</v>
      </c>
      <c r="C572">
        <v>21171.0736626826</v>
      </c>
      <c r="D572">
        <v>15</v>
      </c>
      <c r="E572" s="2">
        <v>45291</v>
      </c>
      <c r="F572" s="1">
        <v>118</v>
      </c>
      <c r="G572" s="1">
        <v>45</v>
      </c>
      <c r="H572" s="1" t="s">
        <v>15</v>
      </c>
      <c r="I572" s="1" t="s">
        <v>23</v>
      </c>
      <c r="J572" s="1" t="s">
        <v>17</v>
      </c>
      <c r="K572" s="1" t="s">
        <v>35</v>
      </c>
      <c r="L572" s="5" t="s">
        <v>30</v>
      </c>
      <c r="M572" s="1" t="s">
        <v>55</v>
      </c>
      <c r="N572" s="1" t="str">
        <f>YEAR(sales_data[[#This Row],[Date]]) &amp; "-" &amp; TEXT(MONTH(sales_data[[#This Row],[Date]]), "00")</f>
        <v>2023-12</v>
      </c>
      <c r="O572" s="1">
        <f xml:space="preserve"> (sales_data[[#This Row],[Sales]]* (100 - sales_data[[#This Row],[Discount]]))/100</f>
        <v>17995.412613280212</v>
      </c>
    </row>
    <row r="573" spans="1:15" x14ac:dyDescent="0.5">
      <c r="A573" s="1" t="s">
        <v>482</v>
      </c>
      <c r="B573" s="1" t="s">
        <v>22</v>
      </c>
      <c r="C573">
        <v>18185.8071978017</v>
      </c>
      <c r="D573">
        <v>0</v>
      </c>
      <c r="E573" s="2">
        <v>45292</v>
      </c>
      <c r="F573" s="1">
        <v>126</v>
      </c>
      <c r="G573" s="1">
        <v>67</v>
      </c>
      <c r="H573" s="1" t="s">
        <v>15</v>
      </c>
      <c r="I573" s="1" t="s">
        <v>33</v>
      </c>
      <c r="J573" s="1" t="s">
        <v>17</v>
      </c>
      <c r="K573" s="1" t="s">
        <v>18</v>
      </c>
      <c r="L573" s="5" t="s">
        <v>54</v>
      </c>
      <c r="M573" s="1" t="s">
        <v>55</v>
      </c>
      <c r="N573" s="1" t="str">
        <f>YEAR(sales_data[[#This Row],[Date]]) &amp; "-" &amp; TEXT(MONTH(sales_data[[#This Row],[Date]]), "00")</f>
        <v>2024-01</v>
      </c>
      <c r="O573" s="1">
        <f xml:space="preserve"> (sales_data[[#This Row],[Sales]]* (100 - sales_data[[#This Row],[Discount]]))/100</f>
        <v>18185.8071978017</v>
      </c>
    </row>
    <row r="574" spans="1:15" x14ac:dyDescent="0.5">
      <c r="A574" s="1" t="s">
        <v>735</v>
      </c>
      <c r="B574" s="1" t="s">
        <v>50</v>
      </c>
      <c r="C574">
        <v>12217.090506701201</v>
      </c>
      <c r="D574">
        <v>15</v>
      </c>
      <c r="E574" s="2">
        <v>45292</v>
      </c>
      <c r="F574" s="1">
        <v>158</v>
      </c>
      <c r="G574" s="1">
        <v>53</v>
      </c>
      <c r="H574" s="1" t="s">
        <v>15</v>
      </c>
      <c r="I574" s="1" t="s">
        <v>23</v>
      </c>
      <c r="J574" s="1" t="s">
        <v>34</v>
      </c>
      <c r="K574" s="1" t="s">
        <v>35</v>
      </c>
      <c r="L574" s="5" t="s">
        <v>46</v>
      </c>
      <c r="M574" s="1" t="s">
        <v>31</v>
      </c>
      <c r="N574" s="1" t="str">
        <f>YEAR(sales_data[[#This Row],[Date]]) &amp; "-" &amp; TEXT(MONTH(sales_data[[#This Row],[Date]]), "00")</f>
        <v>2024-01</v>
      </c>
      <c r="O574" s="1">
        <f xml:space="preserve"> (sales_data[[#This Row],[Sales]]* (100 - sales_data[[#This Row],[Discount]]))/100</f>
        <v>10384.526930696022</v>
      </c>
    </row>
    <row r="575" spans="1:15" x14ac:dyDescent="0.5">
      <c r="A575" s="1" t="s">
        <v>778</v>
      </c>
      <c r="B575" s="1" t="s">
        <v>22</v>
      </c>
      <c r="C575">
        <v>25253.271980038</v>
      </c>
      <c r="D575">
        <v>0</v>
      </c>
      <c r="E575" s="2">
        <v>45293</v>
      </c>
      <c r="F575" s="1">
        <v>174</v>
      </c>
      <c r="G575" s="1">
        <v>27</v>
      </c>
      <c r="H575" s="1" t="s">
        <v>15</v>
      </c>
      <c r="I575" s="1" t="s">
        <v>23</v>
      </c>
      <c r="J575" s="1" t="s">
        <v>17</v>
      </c>
      <c r="K575" s="1" t="s">
        <v>18</v>
      </c>
      <c r="L575" s="5" t="s">
        <v>58</v>
      </c>
      <c r="M575" s="1" t="s">
        <v>44</v>
      </c>
      <c r="N575" s="1" t="str">
        <f>YEAR(sales_data[[#This Row],[Date]]) &amp; "-" &amp; TEXT(MONTH(sales_data[[#This Row],[Date]]), "00")</f>
        <v>2024-01</v>
      </c>
      <c r="O575" s="1">
        <f xml:space="preserve"> (sales_data[[#This Row],[Sales]]* (100 - sales_data[[#This Row],[Discount]]))/100</f>
        <v>25253.271980038</v>
      </c>
    </row>
    <row r="576" spans="1:15" x14ac:dyDescent="0.5">
      <c r="A576" s="1" t="s">
        <v>995</v>
      </c>
      <c r="B576" s="1" t="s">
        <v>14</v>
      </c>
      <c r="C576">
        <v>16932.986682295301</v>
      </c>
      <c r="D576">
        <v>5</v>
      </c>
      <c r="E576" s="2">
        <v>45293</v>
      </c>
      <c r="F576" s="1">
        <v>103</v>
      </c>
      <c r="G576" s="1">
        <v>10</v>
      </c>
      <c r="H576" s="1" t="s">
        <v>15</v>
      </c>
      <c r="I576" s="1" t="s">
        <v>16</v>
      </c>
      <c r="J576" s="1" t="s">
        <v>17</v>
      </c>
      <c r="K576" s="1" t="s">
        <v>25</v>
      </c>
      <c r="L576" s="5" t="s">
        <v>36</v>
      </c>
      <c r="M576" s="1" t="s">
        <v>27</v>
      </c>
      <c r="N576" s="1" t="str">
        <f>YEAR(sales_data[[#This Row],[Date]]) &amp; "-" &amp; TEXT(MONTH(sales_data[[#This Row],[Date]]), "00")</f>
        <v>2024-01</v>
      </c>
      <c r="O576" s="1">
        <f xml:space="preserve"> (sales_data[[#This Row],[Sales]]* (100 - sales_data[[#This Row],[Discount]]))/100</f>
        <v>16086.337348180537</v>
      </c>
    </row>
    <row r="577" spans="1:15" x14ac:dyDescent="0.5">
      <c r="A577" s="1" t="s">
        <v>340</v>
      </c>
      <c r="B577" s="1" t="s">
        <v>22</v>
      </c>
      <c r="C577">
        <v>14354.7411439138</v>
      </c>
      <c r="D577">
        <v>0</v>
      </c>
      <c r="E577" s="2">
        <v>45294</v>
      </c>
      <c r="F577" s="1">
        <v>140</v>
      </c>
      <c r="G577" s="1">
        <v>39</v>
      </c>
      <c r="H577" s="1" t="s">
        <v>15</v>
      </c>
      <c r="I577" s="1" t="s">
        <v>16</v>
      </c>
      <c r="J577" s="1" t="s">
        <v>24</v>
      </c>
      <c r="K577" s="1" t="s">
        <v>18</v>
      </c>
      <c r="L577" s="5" t="s">
        <v>43</v>
      </c>
      <c r="M577" s="1" t="s">
        <v>41</v>
      </c>
      <c r="N577" s="1" t="str">
        <f>YEAR(sales_data[[#This Row],[Date]]) &amp; "-" &amp; TEXT(MONTH(sales_data[[#This Row],[Date]]), "00")</f>
        <v>2024-01</v>
      </c>
      <c r="O577" s="1">
        <f xml:space="preserve"> (sales_data[[#This Row],[Sales]]* (100 - sales_data[[#This Row],[Discount]]))/100</f>
        <v>14354.7411439138</v>
      </c>
    </row>
    <row r="578" spans="1:15" x14ac:dyDescent="0.5">
      <c r="A578" s="1" t="s">
        <v>503</v>
      </c>
      <c r="B578" s="1" t="s">
        <v>14</v>
      </c>
      <c r="C578">
        <v>20832.261041065201</v>
      </c>
      <c r="D578">
        <v>5</v>
      </c>
      <c r="E578" s="2">
        <v>45295</v>
      </c>
      <c r="F578" s="1">
        <v>161</v>
      </c>
      <c r="G578" s="1">
        <v>30</v>
      </c>
      <c r="H578" s="1" t="s">
        <v>15</v>
      </c>
      <c r="I578" s="1" t="s">
        <v>16</v>
      </c>
      <c r="J578" s="1" t="s">
        <v>24</v>
      </c>
      <c r="K578" s="1" t="s">
        <v>18</v>
      </c>
      <c r="L578" s="5" t="s">
        <v>30</v>
      </c>
      <c r="M578" s="1" t="s">
        <v>55</v>
      </c>
      <c r="N578" s="1" t="str">
        <f>YEAR(sales_data[[#This Row],[Date]]) &amp; "-" &amp; TEXT(MONTH(sales_data[[#This Row],[Date]]), "00")</f>
        <v>2024-01</v>
      </c>
      <c r="O578" s="1">
        <f xml:space="preserve"> (sales_data[[#This Row],[Sales]]* (100 - sales_data[[#This Row],[Discount]]))/100</f>
        <v>19790.647989011941</v>
      </c>
    </row>
    <row r="579" spans="1:15" x14ac:dyDescent="0.5">
      <c r="A579" s="1" t="s">
        <v>402</v>
      </c>
      <c r="B579" s="1" t="s">
        <v>22</v>
      </c>
      <c r="C579">
        <v>0</v>
      </c>
      <c r="D579">
        <v>10</v>
      </c>
      <c r="E579" s="2">
        <v>45296</v>
      </c>
      <c r="F579" s="1">
        <v>141</v>
      </c>
      <c r="G579" s="1">
        <v>92</v>
      </c>
      <c r="H579" s="1" t="s">
        <v>38</v>
      </c>
      <c r="I579" s="1" t="s">
        <v>33</v>
      </c>
      <c r="J579" s="1" t="s">
        <v>24</v>
      </c>
      <c r="K579" s="1" t="s">
        <v>18</v>
      </c>
      <c r="L579" s="5" t="s">
        <v>19</v>
      </c>
      <c r="M579" s="1" t="s">
        <v>48</v>
      </c>
      <c r="N579" s="1" t="str">
        <f>YEAR(sales_data[[#This Row],[Date]]) &amp; "-" &amp; TEXT(MONTH(sales_data[[#This Row],[Date]]), "00")</f>
        <v>2024-01</v>
      </c>
      <c r="O579" s="1">
        <f xml:space="preserve"> (sales_data[[#This Row],[Sales]]* (100 - sales_data[[#This Row],[Discount]]))/100</f>
        <v>0</v>
      </c>
    </row>
    <row r="580" spans="1:15" x14ac:dyDescent="0.5">
      <c r="A580" s="1" t="s">
        <v>591</v>
      </c>
      <c r="B580" s="1" t="s">
        <v>29</v>
      </c>
      <c r="C580">
        <v>0</v>
      </c>
      <c r="D580">
        <v>10</v>
      </c>
      <c r="E580" s="2">
        <v>45296</v>
      </c>
      <c r="F580" s="1">
        <v>120</v>
      </c>
      <c r="G580" s="1">
        <v>15</v>
      </c>
      <c r="H580" s="1" t="s">
        <v>15</v>
      </c>
      <c r="I580" s="1" t="s">
        <v>23</v>
      </c>
      <c r="J580" s="1" t="s">
        <v>24</v>
      </c>
      <c r="K580" s="1" t="s">
        <v>35</v>
      </c>
      <c r="L580" s="5" t="s">
        <v>58</v>
      </c>
      <c r="M580" s="1" t="s">
        <v>41</v>
      </c>
      <c r="N580" s="1" t="str">
        <f>YEAR(sales_data[[#This Row],[Date]]) &amp; "-" &amp; TEXT(MONTH(sales_data[[#This Row],[Date]]), "00")</f>
        <v>2024-01</v>
      </c>
      <c r="O580" s="1">
        <f xml:space="preserve"> (sales_data[[#This Row],[Sales]]* (100 - sales_data[[#This Row],[Discount]]))/100</f>
        <v>0</v>
      </c>
    </row>
    <row r="581" spans="1:15" x14ac:dyDescent="0.5">
      <c r="A581" s="1" t="s">
        <v>945</v>
      </c>
      <c r="B581" s="1" t="s">
        <v>29</v>
      </c>
      <c r="C581">
        <v>10818.9731344835</v>
      </c>
      <c r="D581">
        <v>5</v>
      </c>
      <c r="E581" s="2">
        <v>45296</v>
      </c>
      <c r="F581" s="1">
        <v>121</v>
      </c>
      <c r="G581" s="1">
        <v>73</v>
      </c>
      <c r="H581" s="1" t="s">
        <v>15</v>
      </c>
      <c r="I581" s="1" t="s">
        <v>16</v>
      </c>
      <c r="J581" s="1" t="s">
        <v>24</v>
      </c>
      <c r="K581" s="1" t="s">
        <v>25</v>
      </c>
      <c r="L581" s="5" t="s">
        <v>58</v>
      </c>
      <c r="M581" s="1" t="s">
        <v>31</v>
      </c>
      <c r="N581" s="1" t="str">
        <f>YEAR(sales_data[[#This Row],[Date]]) &amp; "-" &amp; TEXT(MONTH(sales_data[[#This Row],[Date]]), "00")</f>
        <v>2024-01</v>
      </c>
      <c r="O581" s="1">
        <f xml:space="preserve"> (sales_data[[#This Row],[Sales]]* (100 - sales_data[[#This Row],[Discount]]))/100</f>
        <v>10278.024477759325</v>
      </c>
    </row>
    <row r="582" spans="1:15" x14ac:dyDescent="0.5">
      <c r="A582" s="1" t="s">
        <v>310</v>
      </c>
      <c r="B582" s="1" t="s">
        <v>50</v>
      </c>
      <c r="C582">
        <v>25632.825147738698</v>
      </c>
      <c r="D582">
        <v>10</v>
      </c>
      <c r="E582" s="2">
        <v>45297</v>
      </c>
      <c r="F582" s="1">
        <v>150</v>
      </c>
      <c r="G582" s="1">
        <v>46</v>
      </c>
      <c r="H582" s="1" t="s">
        <v>15</v>
      </c>
      <c r="I582" s="1" t="s">
        <v>33</v>
      </c>
      <c r="J582" s="1" t="s">
        <v>24</v>
      </c>
      <c r="K582" s="1" t="s">
        <v>25</v>
      </c>
      <c r="L582" s="5" t="s">
        <v>36</v>
      </c>
      <c r="M582" s="1" t="s">
        <v>20</v>
      </c>
      <c r="N582" s="1" t="str">
        <f>YEAR(sales_data[[#This Row],[Date]]) &amp; "-" &amp; TEXT(MONTH(sales_data[[#This Row],[Date]]), "00")</f>
        <v>2024-01</v>
      </c>
      <c r="O582" s="1">
        <f xml:space="preserve"> (sales_data[[#This Row],[Sales]]* (100 - sales_data[[#This Row],[Discount]]))/100</f>
        <v>23069.542632964833</v>
      </c>
    </row>
    <row r="583" spans="1:15" x14ac:dyDescent="0.5">
      <c r="A583" s="1" t="s">
        <v>268</v>
      </c>
      <c r="B583" s="1" t="s">
        <v>22</v>
      </c>
      <c r="C583">
        <v>27480.221557445901</v>
      </c>
      <c r="D583">
        <v>10</v>
      </c>
      <c r="E583" s="2">
        <v>45299</v>
      </c>
      <c r="F583" s="1">
        <v>186</v>
      </c>
      <c r="G583" s="1">
        <v>79</v>
      </c>
      <c r="H583" s="1" t="s">
        <v>15</v>
      </c>
      <c r="I583" s="1" t="s">
        <v>23</v>
      </c>
      <c r="J583" s="1" t="s">
        <v>34</v>
      </c>
      <c r="K583" s="1" t="s">
        <v>18</v>
      </c>
      <c r="L583" s="5" t="s">
        <v>36</v>
      </c>
      <c r="M583" s="1" t="s">
        <v>41</v>
      </c>
      <c r="N583" s="1" t="str">
        <f>YEAR(sales_data[[#This Row],[Date]]) &amp; "-" &amp; TEXT(MONTH(sales_data[[#This Row],[Date]]), "00")</f>
        <v>2024-01</v>
      </c>
      <c r="O583" s="1">
        <f xml:space="preserve"> (sales_data[[#This Row],[Sales]]* (100 - sales_data[[#This Row],[Discount]]))/100</f>
        <v>24732.199401701313</v>
      </c>
    </row>
    <row r="584" spans="1:15" x14ac:dyDescent="0.5">
      <c r="A584" s="1" t="s">
        <v>795</v>
      </c>
      <c r="B584" s="1" t="s">
        <v>22</v>
      </c>
      <c r="C584">
        <v>25947.3524446232</v>
      </c>
      <c r="D584">
        <v>0</v>
      </c>
      <c r="E584" s="2">
        <v>45299</v>
      </c>
      <c r="F584" s="1">
        <v>153</v>
      </c>
      <c r="G584" s="1">
        <v>35</v>
      </c>
      <c r="H584" s="1" t="s">
        <v>15</v>
      </c>
      <c r="I584" s="1" t="s">
        <v>33</v>
      </c>
      <c r="J584" s="1" t="s">
        <v>24</v>
      </c>
      <c r="K584" s="1" t="s">
        <v>18</v>
      </c>
      <c r="L584" s="5" t="s">
        <v>38</v>
      </c>
      <c r="M584" s="1" t="s">
        <v>41</v>
      </c>
      <c r="N584" s="1" t="str">
        <f>YEAR(sales_data[[#This Row],[Date]]) &amp; "-" &amp; TEXT(MONTH(sales_data[[#This Row],[Date]]), "00")</f>
        <v>2024-01</v>
      </c>
      <c r="O584" s="1">
        <f xml:space="preserve"> (sales_data[[#This Row],[Sales]]* (100 - sales_data[[#This Row],[Discount]]))/100</f>
        <v>25947.3524446232</v>
      </c>
    </row>
    <row r="585" spans="1:15" x14ac:dyDescent="0.5">
      <c r="A585" s="1" t="s">
        <v>854</v>
      </c>
      <c r="B585" s="1" t="s">
        <v>29</v>
      </c>
      <c r="C585">
        <v>22202.373689801901</v>
      </c>
      <c r="D585">
        <v>15</v>
      </c>
      <c r="E585" s="2">
        <v>45299</v>
      </c>
      <c r="F585" s="1">
        <v>103</v>
      </c>
      <c r="G585" s="1">
        <v>25</v>
      </c>
      <c r="H585" s="1" t="s">
        <v>15</v>
      </c>
      <c r="I585" s="1" t="s">
        <v>16</v>
      </c>
      <c r="J585" s="1" t="s">
        <v>24</v>
      </c>
      <c r="K585" s="1" t="s">
        <v>35</v>
      </c>
      <c r="L585" s="5" t="s">
        <v>26</v>
      </c>
      <c r="M585" s="1" t="s">
        <v>41</v>
      </c>
      <c r="N585" s="1" t="str">
        <f>YEAR(sales_data[[#This Row],[Date]]) &amp; "-" &amp; TEXT(MONTH(sales_data[[#This Row],[Date]]), "00")</f>
        <v>2024-01</v>
      </c>
      <c r="O585" s="1">
        <f xml:space="preserve"> (sales_data[[#This Row],[Sales]]* (100 - sales_data[[#This Row],[Discount]]))/100</f>
        <v>18872.017636331617</v>
      </c>
    </row>
    <row r="586" spans="1:15" x14ac:dyDescent="0.5">
      <c r="A586" s="1" t="s">
        <v>935</v>
      </c>
      <c r="B586" s="1" t="s">
        <v>14</v>
      </c>
      <c r="C586">
        <v>31596.647699908401</v>
      </c>
      <c r="D586">
        <v>0</v>
      </c>
      <c r="E586" s="2">
        <v>45299</v>
      </c>
      <c r="F586" s="1">
        <v>125</v>
      </c>
      <c r="G586" s="1">
        <v>7</v>
      </c>
      <c r="H586" s="1" t="s">
        <v>15</v>
      </c>
      <c r="I586" s="1" t="s">
        <v>16</v>
      </c>
      <c r="J586" s="1" t="s">
        <v>34</v>
      </c>
      <c r="K586" s="1" t="s">
        <v>18</v>
      </c>
      <c r="L586" s="5" t="s">
        <v>85</v>
      </c>
      <c r="M586" s="1" t="s">
        <v>31</v>
      </c>
      <c r="N586" s="1" t="str">
        <f>YEAR(sales_data[[#This Row],[Date]]) &amp; "-" &amp; TEXT(MONTH(sales_data[[#This Row],[Date]]), "00")</f>
        <v>2024-01</v>
      </c>
      <c r="O586" s="1">
        <f xml:space="preserve"> (sales_data[[#This Row],[Sales]]* (100 - sales_data[[#This Row],[Discount]]))/100</f>
        <v>31596.647699908401</v>
      </c>
    </row>
    <row r="587" spans="1:15" x14ac:dyDescent="0.5">
      <c r="A587" s="1" t="s">
        <v>395</v>
      </c>
      <c r="B587" s="1" t="s">
        <v>22</v>
      </c>
      <c r="C587">
        <v>21280.148671569299</v>
      </c>
      <c r="D587">
        <v>10</v>
      </c>
      <c r="E587" s="2">
        <v>45301</v>
      </c>
      <c r="F587" s="1">
        <v>121</v>
      </c>
      <c r="G587" s="1">
        <v>61</v>
      </c>
      <c r="H587" s="1" t="s">
        <v>15</v>
      </c>
      <c r="I587" s="1" t="s">
        <v>23</v>
      </c>
      <c r="J587" s="1" t="s">
        <v>17</v>
      </c>
      <c r="K587" s="1" t="s">
        <v>35</v>
      </c>
      <c r="L587" s="5" t="s">
        <v>43</v>
      </c>
      <c r="M587" s="1" t="s">
        <v>20</v>
      </c>
      <c r="N587" s="1" t="str">
        <f>YEAR(sales_data[[#This Row],[Date]]) &amp; "-" &amp; TEXT(MONTH(sales_data[[#This Row],[Date]]), "00")</f>
        <v>2024-01</v>
      </c>
      <c r="O587" s="1">
        <f xml:space="preserve"> (sales_data[[#This Row],[Sales]]* (100 - sales_data[[#This Row],[Discount]]))/100</f>
        <v>19152.133804412369</v>
      </c>
    </row>
    <row r="588" spans="1:15" x14ac:dyDescent="0.5">
      <c r="A588" s="1" t="s">
        <v>375</v>
      </c>
      <c r="B588" s="1" t="s">
        <v>29</v>
      </c>
      <c r="C588">
        <v>20571.138243310099</v>
      </c>
      <c r="D588">
        <v>0</v>
      </c>
      <c r="E588" s="2">
        <v>45302</v>
      </c>
      <c r="F588" s="1">
        <v>172</v>
      </c>
      <c r="G588" s="1">
        <v>65</v>
      </c>
      <c r="H588" s="1" t="s">
        <v>15</v>
      </c>
      <c r="I588" s="1" t="s">
        <v>23</v>
      </c>
      <c r="J588" s="1" t="s">
        <v>17</v>
      </c>
      <c r="K588" s="1" t="s">
        <v>18</v>
      </c>
      <c r="L588" s="5" t="s">
        <v>43</v>
      </c>
      <c r="M588" s="1" t="s">
        <v>20</v>
      </c>
      <c r="N588" s="1" t="str">
        <f>YEAR(sales_data[[#This Row],[Date]]) &amp; "-" &amp; TEXT(MONTH(sales_data[[#This Row],[Date]]), "00")</f>
        <v>2024-01</v>
      </c>
      <c r="O588" s="1">
        <f xml:space="preserve"> (sales_data[[#This Row],[Sales]]* (100 - sales_data[[#This Row],[Discount]]))/100</f>
        <v>20571.138243310099</v>
      </c>
    </row>
    <row r="589" spans="1:15" x14ac:dyDescent="0.5">
      <c r="A589" s="1" t="s">
        <v>397</v>
      </c>
      <c r="B589" s="1" t="s">
        <v>29</v>
      </c>
      <c r="C589">
        <v>28327.372222312799</v>
      </c>
      <c r="D589">
        <v>10</v>
      </c>
      <c r="E589" s="2">
        <v>45303</v>
      </c>
      <c r="F589" s="1">
        <v>185</v>
      </c>
      <c r="G589" s="1">
        <v>60</v>
      </c>
      <c r="H589" s="1" t="s">
        <v>15</v>
      </c>
      <c r="I589" s="1" t="s">
        <v>33</v>
      </c>
      <c r="J589" s="1" t="s">
        <v>24</v>
      </c>
      <c r="K589" s="1" t="s">
        <v>18</v>
      </c>
      <c r="L589" s="5" t="s">
        <v>46</v>
      </c>
      <c r="M589" s="1" t="s">
        <v>48</v>
      </c>
      <c r="N589" s="1" t="str">
        <f>YEAR(sales_data[[#This Row],[Date]]) &amp; "-" &amp; TEXT(MONTH(sales_data[[#This Row],[Date]]), "00")</f>
        <v>2024-01</v>
      </c>
      <c r="O589" s="1">
        <f xml:space="preserve"> (sales_data[[#This Row],[Sales]]* (100 - sales_data[[#This Row],[Discount]]))/100</f>
        <v>25494.635000081518</v>
      </c>
    </row>
    <row r="590" spans="1:15" x14ac:dyDescent="0.5">
      <c r="A590" s="1" t="s">
        <v>444</v>
      </c>
      <c r="B590" s="1" t="s">
        <v>29</v>
      </c>
      <c r="C590">
        <v>25403.903627773099</v>
      </c>
      <c r="D590">
        <v>10</v>
      </c>
      <c r="E590" s="2">
        <v>45303</v>
      </c>
      <c r="F590" s="1">
        <v>145</v>
      </c>
      <c r="G590" s="1">
        <v>60</v>
      </c>
      <c r="H590" s="1" t="s">
        <v>15</v>
      </c>
      <c r="I590" s="1" t="s">
        <v>33</v>
      </c>
      <c r="J590" s="1" t="s">
        <v>34</v>
      </c>
      <c r="K590" s="1" t="s">
        <v>18</v>
      </c>
      <c r="L590" s="5" t="s">
        <v>58</v>
      </c>
      <c r="M590" s="1" t="s">
        <v>55</v>
      </c>
      <c r="N590" s="1" t="str">
        <f>YEAR(sales_data[[#This Row],[Date]]) &amp; "-" &amp; TEXT(MONTH(sales_data[[#This Row],[Date]]), "00")</f>
        <v>2024-01</v>
      </c>
      <c r="O590" s="1">
        <f xml:space="preserve"> (sales_data[[#This Row],[Sales]]* (100 - sales_data[[#This Row],[Discount]]))/100</f>
        <v>22863.513264995789</v>
      </c>
    </row>
    <row r="591" spans="1:15" x14ac:dyDescent="0.5">
      <c r="A591" s="1" t="s">
        <v>970</v>
      </c>
      <c r="B591" s="1" t="s">
        <v>14</v>
      </c>
      <c r="C591">
        <v>24088.8314960014</v>
      </c>
      <c r="D591">
        <v>0</v>
      </c>
      <c r="E591" s="2">
        <v>45303</v>
      </c>
      <c r="F591" s="1">
        <v>183</v>
      </c>
      <c r="G591" s="1">
        <v>71</v>
      </c>
      <c r="H591" s="1" t="s">
        <v>15</v>
      </c>
      <c r="I591" s="1" t="s">
        <v>16</v>
      </c>
      <c r="J591" s="1" t="s">
        <v>17</v>
      </c>
      <c r="K591" s="1" t="s">
        <v>18</v>
      </c>
      <c r="L591" s="5" t="s">
        <v>38</v>
      </c>
      <c r="M591" s="1" t="s">
        <v>41</v>
      </c>
      <c r="N591" s="1" t="str">
        <f>YEAR(sales_data[[#This Row],[Date]]) &amp; "-" &amp; TEXT(MONTH(sales_data[[#This Row],[Date]]), "00")</f>
        <v>2024-01</v>
      </c>
      <c r="O591" s="1">
        <f xml:space="preserve"> (sales_data[[#This Row],[Sales]]* (100 - sales_data[[#This Row],[Discount]]))/100</f>
        <v>24088.8314960014</v>
      </c>
    </row>
    <row r="592" spans="1:15" x14ac:dyDescent="0.5">
      <c r="A592" s="1" t="s">
        <v>1016</v>
      </c>
      <c r="B592" s="1" t="s">
        <v>14</v>
      </c>
      <c r="C592">
        <v>21959.020027012699</v>
      </c>
      <c r="D592">
        <v>0</v>
      </c>
      <c r="E592" s="2">
        <v>45303</v>
      </c>
      <c r="F592" s="1">
        <v>137</v>
      </c>
      <c r="G592" s="1">
        <v>92</v>
      </c>
      <c r="H592" s="1" t="s">
        <v>15</v>
      </c>
      <c r="I592" s="1" t="s">
        <v>33</v>
      </c>
      <c r="J592" s="1" t="s">
        <v>17</v>
      </c>
      <c r="K592" s="1" t="s">
        <v>35</v>
      </c>
      <c r="L592" s="5" t="s">
        <v>43</v>
      </c>
      <c r="M592" s="1" t="s">
        <v>41</v>
      </c>
      <c r="N592" s="1" t="str">
        <f>YEAR(sales_data[[#This Row],[Date]]) &amp; "-" &amp; TEXT(MONTH(sales_data[[#This Row],[Date]]), "00")</f>
        <v>2024-01</v>
      </c>
      <c r="O592" s="1">
        <f xml:space="preserve"> (sales_data[[#This Row],[Sales]]* (100 - sales_data[[#This Row],[Discount]]))/100</f>
        <v>21959.020027012699</v>
      </c>
    </row>
    <row r="593" spans="1:15" x14ac:dyDescent="0.5">
      <c r="A593" s="1" t="s">
        <v>786</v>
      </c>
      <c r="B593" s="1" t="s">
        <v>50</v>
      </c>
      <c r="C593">
        <v>16228.620749903201</v>
      </c>
      <c r="D593">
        <v>10</v>
      </c>
      <c r="E593" s="2">
        <v>45304</v>
      </c>
      <c r="F593" s="1">
        <v>156</v>
      </c>
      <c r="G593" s="1">
        <v>61</v>
      </c>
      <c r="H593" s="1" t="s">
        <v>15</v>
      </c>
      <c r="I593" s="1" t="s">
        <v>33</v>
      </c>
      <c r="J593" s="1" t="s">
        <v>17</v>
      </c>
      <c r="K593" s="1" t="s">
        <v>18</v>
      </c>
      <c r="L593" s="5" t="s">
        <v>30</v>
      </c>
      <c r="M593" s="1" t="s">
        <v>27</v>
      </c>
      <c r="N593" s="1" t="str">
        <f>YEAR(sales_data[[#This Row],[Date]]) &amp; "-" &amp; TEXT(MONTH(sales_data[[#This Row],[Date]]), "00")</f>
        <v>2024-01</v>
      </c>
      <c r="O593" s="1">
        <f xml:space="preserve"> (sales_data[[#This Row],[Sales]]* (100 - sales_data[[#This Row],[Discount]]))/100</f>
        <v>14605.75867491288</v>
      </c>
    </row>
    <row r="594" spans="1:15" x14ac:dyDescent="0.5">
      <c r="A594" s="1" t="s">
        <v>243</v>
      </c>
      <c r="B594" s="1" t="s">
        <v>40</v>
      </c>
      <c r="C594">
        <v>20909.331275292399</v>
      </c>
      <c r="D594">
        <v>10</v>
      </c>
      <c r="E594" s="2">
        <v>45305</v>
      </c>
      <c r="F594" s="1">
        <v>103</v>
      </c>
      <c r="G594" s="1">
        <v>24</v>
      </c>
      <c r="H594" s="1" t="s">
        <v>15</v>
      </c>
      <c r="I594" s="1" t="s">
        <v>33</v>
      </c>
      <c r="J594" s="1" t="s">
        <v>17</v>
      </c>
      <c r="K594" s="1" t="s">
        <v>35</v>
      </c>
      <c r="L594" s="5" t="s">
        <v>85</v>
      </c>
      <c r="M594" s="1" t="s">
        <v>48</v>
      </c>
      <c r="N594" s="1" t="str">
        <f>YEAR(sales_data[[#This Row],[Date]]) &amp; "-" &amp; TEXT(MONTH(sales_data[[#This Row],[Date]]), "00")</f>
        <v>2024-01</v>
      </c>
      <c r="O594" s="1">
        <f xml:space="preserve"> (sales_data[[#This Row],[Sales]]* (100 - sales_data[[#This Row],[Discount]]))/100</f>
        <v>18818.398147763161</v>
      </c>
    </row>
    <row r="595" spans="1:15" x14ac:dyDescent="0.5">
      <c r="A595" s="1" t="s">
        <v>327</v>
      </c>
      <c r="B595" s="1" t="s">
        <v>50</v>
      </c>
      <c r="C595">
        <v>6745.1509580349302</v>
      </c>
      <c r="D595">
        <v>0</v>
      </c>
      <c r="E595" s="2">
        <v>45305</v>
      </c>
      <c r="F595" s="1">
        <v>197</v>
      </c>
      <c r="G595" s="1">
        <v>93</v>
      </c>
      <c r="H595" s="1" t="s">
        <v>15</v>
      </c>
      <c r="I595" s="1" t="s">
        <v>16</v>
      </c>
      <c r="J595" s="1" t="s">
        <v>17</v>
      </c>
      <c r="K595" s="1" t="s">
        <v>25</v>
      </c>
      <c r="L595" s="5" t="s">
        <v>58</v>
      </c>
      <c r="M595" s="1" t="s">
        <v>20</v>
      </c>
      <c r="N595" s="1" t="str">
        <f>YEAR(sales_data[[#This Row],[Date]]) &amp; "-" &amp; TEXT(MONTH(sales_data[[#This Row],[Date]]), "00")</f>
        <v>2024-01</v>
      </c>
      <c r="O595" s="1">
        <f xml:space="preserve"> (sales_data[[#This Row],[Sales]]* (100 - sales_data[[#This Row],[Discount]]))/100</f>
        <v>6745.1509580349302</v>
      </c>
    </row>
    <row r="596" spans="1:15" x14ac:dyDescent="0.5">
      <c r="A596" s="1" t="s">
        <v>356</v>
      </c>
      <c r="B596" s="1" t="s">
        <v>14</v>
      </c>
      <c r="C596">
        <v>13744.4321180734</v>
      </c>
      <c r="D596">
        <v>0</v>
      </c>
      <c r="E596" s="2">
        <v>45306</v>
      </c>
      <c r="F596" s="1">
        <v>187</v>
      </c>
      <c r="G596" s="1">
        <v>62</v>
      </c>
      <c r="H596" s="1" t="s">
        <v>15</v>
      </c>
      <c r="I596" s="1" t="s">
        <v>33</v>
      </c>
      <c r="J596" s="1" t="s">
        <v>24</v>
      </c>
      <c r="K596" s="1" t="s">
        <v>25</v>
      </c>
      <c r="L596" s="5" t="s">
        <v>30</v>
      </c>
      <c r="M596" s="1" t="s">
        <v>31</v>
      </c>
      <c r="N596" s="1" t="str">
        <f>YEAR(sales_data[[#This Row],[Date]]) &amp; "-" &amp; TEXT(MONTH(sales_data[[#This Row],[Date]]), "00")</f>
        <v>2024-01</v>
      </c>
      <c r="O596" s="1">
        <f xml:space="preserve"> (sales_data[[#This Row],[Sales]]* (100 - sales_data[[#This Row],[Discount]]))/100</f>
        <v>13744.432118073402</v>
      </c>
    </row>
    <row r="597" spans="1:15" x14ac:dyDescent="0.5">
      <c r="A597" s="1" t="s">
        <v>662</v>
      </c>
      <c r="B597" s="1" t="s">
        <v>22</v>
      </c>
      <c r="C597">
        <v>16765.316111472101</v>
      </c>
      <c r="D597">
        <v>0</v>
      </c>
      <c r="E597" s="2">
        <v>45306</v>
      </c>
      <c r="F597" s="1">
        <v>143</v>
      </c>
      <c r="G597" s="1">
        <v>83</v>
      </c>
      <c r="H597" s="1" t="s">
        <v>15</v>
      </c>
      <c r="I597" s="1" t="s">
        <v>16</v>
      </c>
      <c r="J597" s="1" t="s">
        <v>24</v>
      </c>
      <c r="K597" s="1" t="s">
        <v>25</v>
      </c>
      <c r="L597" s="5" t="s">
        <v>54</v>
      </c>
      <c r="M597" s="1" t="s">
        <v>48</v>
      </c>
      <c r="N597" s="1" t="str">
        <f>YEAR(sales_data[[#This Row],[Date]]) &amp; "-" &amp; TEXT(MONTH(sales_data[[#This Row],[Date]]), "00")</f>
        <v>2024-01</v>
      </c>
      <c r="O597" s="1">
        <f xml:space="preserve"> (sales_data[[#This Row],[Sales]]* (100 - sales_data[[#This Row],[Discount]]))/100</f>
        <v>16765.316111472101</v>
      </c>
    </row>
    <row r="598" spans="1:15" x14ac:dyDescent="0.5">
      <c r="A598" s="1" t="s">
        <v>902</v>
      </c>
      <c r="B598" s="1" t="s">
        <v>14</v>
      </c>
      <c r="C598">
        <v>14926.216346535601</v>
      </c>
      <c r="D598">
        <v>5</v>
      </c>
      <c r="E598" s="2">
        <v>45306</v>
      </c>
      <c r="F598" s="1">
        <v>144</v>
      </c>
      <c r="G598" s="1">
        <v>94</v>
      </c>
      <c r="H598" s="1" t="s">
        <v>15</v>
      </c>
      <c r="I598" s="1" t="s">
        <v>33</v>
      </c>
      <c r="J598" s="1" t="s">
        <v>34</v>
      </c>
      <c r="K598" s="1" t="s">
        <v>35</v>
      </c>
      <c r="L598" s="5" t="s">
        <v>26</v>
      </c>
      <c r="M598" s="1" t="s">
        <v>55</v>
      </c>
      <c r="N598" s="1" t="str">
        <f>YEAR(sales_data[[#This Row],[Date]]) &amp; "-" &amp; TEXT(MONTH(sales_data[[#This Row],[Date]]), "00")</f>
        <v>2024-01</v>
      </c>
      <c r="O598" s="1">
        <f xml:space="preserve"> (sales_data[[#This Row],[Sales]]* (100 - sales_data[[#This Row],[Discount]]))/100</f>
        <v>14179.905529208821</v>
      </c>
    </row>
    <row r="599" spans="1:15" x14ac:dyDescent="0.5">
      <c r="A599" s="1" t="s">
        <v>483</v>
      </c>
      <c r="B599" s="1" t="s">
        <v>14</v>
      </c>
      <c r="C599">
        <v>17772.4873929961</v>
      </c>
      <c r="D599">
        <v>10</v>
      </c>
      <c r="E599" s="2">
        <v>45307</v>
      </c>
      <c r="F599" s="1">
        <v>192</v>
      </c>
      <c r="G599" s="1">
        <v>30</v>
      </c>
      <c r="H599" s="1" t="s">
        <v>15</v>
      </c>
      <c r="I599" s="1" t="s">
        <v>23</v>
      </c>
      <c r="J599" s="1" t="s">
        <v>17</v>
      </c>
      <c r="K599" s="1" t="s">
        <v>18</v>
      </c>
      <c r="L599" s="5" t="s">
        <v>36</v>
      </c>
      <c r="M599" s="1" t="s">
        <v>41</v>
      </c>
      <c r="N599" s="1" t="str">
        <f>YEAR(sales_data[[#This Row],[Date]]) &amp; "-" &amp; TEXT(MONTH(sales_data[[#This Row],[Date]]), "00")</f>
        <v>2024-01</v>
      </c>
      <c r="O599" s="1">
        <f xml:space="preserve"> (sales_data[[#This Row],[Sales]]* (100 - sales_data[[#This Row],[Discount]]))/100</f>
        <v>15995.23865369649</v>
      </c>
    </row>
    <row r="600" spans="1:15" x14ac:dyDescent="0.5">
      <c r="A600" s="1" t="s">
        <v>113</v>
      </c>
      <c r="B600" s="1" t="s">
        <v>22</v>
      </c>
      <c r="C600">
        <v>17348.711908137699</v>
      </c>
      <c r="D600">
        <v>10</v>
      </c>
      <c r="E600" s="2">
        <v>45308</v>
      </c>
      <c r="F600" s="1">
        <v>129</v>
      </c>
      <c r="G600" s="1">
        <v>18</v>
      </c>
      <c r="H600" s="1" t="s">
        <v>15</v>
      </c>
      <c r="I600" s="1" t="s">
        <v>33</v>
      </c>
      <c r="J600" s="1" t="s">
        <v>34</v>
      </c>
      <c r="K600" s="1" t="s">
        <v>18</v>
      </c>
      <c r="L600" s="5" t="s">
        <v>85</v>
      </c>
      <c r="M600" s="1" t="s">
        <v>27</v>
      </c>
      <c r="N600" s="1" t="str">
        <f>YEAR(sales_data[[#This Row],[Date]]) &amp; "-" &amp; TEXT(MONTH(sales_data[[#This Row],[Date]]), "00")</f>
        <v>2024-01</v>
      </c>
      <c r="O600" s="1">
        <f xml:space="preserve"> (sales_data[[#This Row],[Sales]]* (100 - sales_data[[#This Row],[Discount]]))/100</f>
        <v>15613.840717323928</v>
      </c>
    </row>
    <row r="601" spans="1:15" x14ac:dyDescent="0.5">
      <c r="A601" s="1" t="s">
        <v>589</v>
      </c>
      <c r="B601" s="1" t="s">
        <v>29</v>
      </c>
      <c r="C601">
        <v>17224.002366534001</v>
      </c>
      <c r="D601">
        <v>5</v>
      </c>
      <c r="E601" s="2">
        <v>45308</v>
      </c>
      <c r="F601" s="1">
        <v>122</v>
      </c>
      <c r="G601" s="1">
        <v>41</v>
      </c>
      <c r="H601" s="1" t="s">
        <v>15</v>
      </c>
      <c r="I601" s="1" t="s">
        <v>33</v>
      </c>
      <c r="J601" s="1" t="s">
        <v>24</v>
      </c>
      <c r="K601" s="1" t="s">
        <v>35</v>
      </c>
      <c r="L601" s="5" t="s">
        <v>30</v>
      </c>
      <c r="M601" s="1" t="s">
        <v>31</v>
      </c>
      <c r="N601" s="1" t="str">
        <f>YEAR(sales_data[[#This Row],[Date]]) &amp; "-" &amp; TEXT(MONTH(sales_data[[#This Row],[Date]]), "00")</f>
        <v>2024-01</v>
      </c>
      <c r="O601" s="1">
        <f xml:space="preserve"> (sales_data[[#This Row],[Sales]]* (100 - sales_data[[#This Row],[Discount]]))/100</f>
        <v>16362.802248207301</v>
      </c>
    </row>
    <row r="602" spans="1:15" x14ac:dyDescent="0.5">
      <c r="A602" s="1" t="s">
        <v>737</v>
      </c>
      <c r="B602" s="1" t="s">
        <v>29</v>
      </c>
      <c r="C602">
        <v>27503.798953171499</v>
      </c>
      <c r="D602">
        <v>5</v>
      </c>
      <c r="E602" s="2">
        <v>45308</v>
      </c>
      <c r="F602" s="1">
        <v>166</v>
      </c>
      <c r="G602" s="1">
        <v>79</v>
      </c>
      <c r="H602" s="1" t="s">
        <v>15</v>
      </c>
      <c r="I602" s="1" t="s">
        <v>16</v>
      </c>
      <c r="J602" s="1" t="s">
        <v>24</v>
      </c>
      <c r="K602" s="1" t="s">
        <v>35</v>
      </c>
      <c r="L602" s="5" t="s">
        <v>36</v>
      </c>
      <c r="M602" s="1" t="s">
        <v>44</v>
      </c>
      <c r="N602" s="1" t="str">
        <f>YEAR(sales_data[[#This Row],[Date]]) &amp; "-" &amp; TEXT(MONTH(sales_data[[#This Row],[Date]]), "00")</f>
        <v>2024-01</v>
      </c>
      <c r="O602" s="1">
        <f xml:space="preserve"> (sales_data[[#This Row],[Sales]]* (100 - sales_data[[#This Row],[Discount]]))/100</f>
        <v>26128.609005512924</v>
      </c>
    </row>
    <row r="603" spans="1:15" x14ac:dyDescent="0.5">
      <c r="A603" s="1" t="s">
        <v>495</v>
      </c>
      <c r="B603" s="1" t="s">
        <v>50</v>
      </c>
      <c r="C603">
        <v>27752.502464070301</v>
      </c>
      <c r="D603">
        <v>0</v>
      </c>
      <c r="E603" s="2">
        <v>45309</v>
      </c>
      <c r="F603" s="1">
        <v>156</v>
      </c>
      <c r="G603" s="1">
        <v>17</v>
      </c>
      <c r="H603" s="1" t="s">
        <v>15</v>
      </c>
      <c r="I603" s="1" t="s">
        <v>33</v>
      </c>
      <c r="J603" s="1" t="s">
        <v>17</v>
      </c>
      <c r="K603" s="1" t="s">
        <v>35</v>
      </c>
      <c r="L603" s="5" t="s">
        <v>46</v>
      </c>
      <c r="M603" s="1" t="s">
        <v>55</v>
      </c>
      <c r="N603" s="1" t="str">
        <f>YEAR(sales_data[[#This Row],[Date]]) &amp; "-" &amp; TEXT(MONTH(sales_data[[#This Row],[Date]]), "00")</f>
        <v>2024-01</v>
      </c>
      <c r="O603" s="1">
        <f xml:space="preserve"> (sales_data[[#This Row],[Sales]]* (100 - sales_data[[#This Row],[Discount]]))/100</f>
        <v>27752.502464070301</v>
      </c>
    </row>
    <row r="604" spans="1:15" x14ac:dyDescent="0.5">
      <c r="A604" s="1" t="s">
        <v>767</v>
      </c>
      <c r="B604" s="1" t="s">
        <v>22</v>
      </c>
      <c r="C604">
        <v>16881.1551965209</v>
      </c>
      <c r="D604">
        <v>5</v>
      </c>
      <c r="E604" s="2">
        <v>45309</v>
      </c>
      <c r="F604" s="1">
        <v>124</v>
      </c>
      <c r="G604" s="1">
        <v>29</v>
      </c>
      <c r="H604" s="1" t="s">
        <v>15</v>
      </c>
      <c r="I604" s="1" t="s">
        <v>33</v>
      </c>
      <c r="J604" s="1" t="s">
        <v>17</v>
      </c>
      <c r="K604" s="1" t="s">
        <v>18</v>
      </c>
      <c r="L604" s="5" t="s">
        <v>58</v>
      </c>
      <c r="M604" s="1" t="s">
        <v>48</v>
      </c>
      <c r="N604" s="1" t="str">
        <f>YEAR(sales_data[[#This Row],[Date]]) &amp; "-" &amp; TEXT(MONTH(sales_data[[#This Row],[Date]]), "00")</f>
        <v>2024-01</v>
      </c>
      <c r="O604" s="1">
        <f xml:space="preserve"> (sales_data[[#This Row],[Sales]]* (100 - sales_data[[#This Row],[Discount]]))/100</f>
        <v>16037.097436694854</v>
      </c>
    </row>
    <row r="605" spans="1:15" x14ac:dyDescent="0.5">
      <c r="A605" s="1" t="s">
        <v>697</v>
      </c>
      <c r="B605" s="1" t="s">
        <v>40</v>
      </c>
      <c r="C605">
        <v>21122.259092799799</v>
      </c>
      <c r="D605">
        <v>0</v>
      </c>
      <c r="E605" s="2">
        <v>45310</v>
      </c>
      <c r="F605" s="1">
        <v>175</v>
      </c>
      <c r="G605" s="1">
        <v>59</v>
      </c>
      <c r="H605" s="1" t="s">
        <v>15</v>
      </c>
      <c r="I605" s="1" t="s">
        <v>33</v>
      </c>
      <c r="J605" s="1" t="s">
        <v>17</v>
      </c>
      <c r="K605" s="1" t="s">
        <v>18</v>
      </c>
      <c r="L605" s="5" t="s">
        <v>38</v>
      </c>
      <c r="M605" s="1" t="s">
        <v>48</v>
      </c>
      <c r="N605" s="1" t="str">
        <f>YEAR(sales_data[[#This Row],[Date]]) &amp; "-" &amp; TEXT(MONTH(sales_data[[#This Row],[Date]]), "00")</f>
        <v>2024-01</v>
      </c>
      <c r="O605" s="1">
        <f xml:space="preserve"> (sales_data[[#This Row],[Sales]]* (100 - sales_data[[#This Row],[Discount]]))/100</f>
        <v>21122.259092799799</v>
      </c>
    </row>
    <row r="606" spans="1:15" x14ac:dyDescent="0.5">
      <c r="A606" s="1" t="s">
        <v>115</v>
      </c>
      <c r="B606" s="1" t="s">
        <v>50</v>
      </c>
      <c r="C606">
        <v>19464.848200227199</v>
      </c>
      <c r="D606">
        <v>5</v>
      </c>
      <c r="E606" s="2">
        <v>45311</v>
      </c>
      <c r="F606" s="1">
        <v>186</v>
      </c>
      <c r="G606" s="1">
        <v>43</v>
      </c>
      <c r="H606" s="1" t="s">
        <v>15</v>
      </c>
      <c r="I606" s="1" t="s">
        <v>33</v>
      </c>
      <c r="J606" s="1" t="s">
        <v>24</v>
      </c>
      <c r="K606" s="1" t="s">
        <v>25</v>
      </c>
      <c r="L606" s="5" t="s">
        <v>43</v>
      </c>
      <c r="M606" s="1" t="s">
        <v>44</v>
      </c>
      <c r="N606" s="1" t="str">
        <f>YEAR(sales_data[[#This Row],[Date]]) &amp; "-" &amp; TEXT(MONTH(sales_data[[#This Row],[Date]]), "00")</f>
        <v>2024-01</v>
      </c>
      <c r="O606" s="1">
        <f xml:space="preserve"> (sales_data[[#This Row],[Sales]]* (100 - sales_data[[#This Row],[Discount]]))/100</f>
        <v>18491.605790215839</v>
      </c>
    </row>
    <row r="607" spans="1:15" x14ac:dyDescent="0.5">
      <c r="A607" s="1" t="s">
        <v>131</v>
      </c>
      <c r="B607" s="1" t="s">
        <v>50</v>
      </c>
      <c r="C607">
        <v>12424.0446890072</v>
      </c>
      <c r="D607">
        <v>0</v>
      </c>
      <c r="E607" s="2">
        <v>45311</v>
      </c>
      <c r="F607" s="1">
        <v>196</v>
      </c>
      <c r="G607" s="1">
        <v>40</v>
      </c>
      <c r="H607" s="1" t="s">
        <v>15</v>
      </c>
      <c r="I607" s="1" t="s">
        <v>23</v>
      </c>
      <c r="J607" s="1" t="s">
        <v>17</v>
      </c>
      <c r="K607" s="1" t="s">
        <v>25</v>
      </c>
      <c r="L607" s="5" t="s">
        <v>43</v>
      </c>
      <c r="M607" s="1" t="s">
        <v>27</v>
      </c>
      <c r="N607" s="1" t="str">
        <f>YEAR(sales_data[[#This Row],[Date]]) &amp; "-" &amp; TEXT(MONTH(sales_data[[#This Row],[Date]]), "00")</f>
        <v>2024-01</v>
      </c>
      <c r="O607" s="1">
        <f xml:space="preserve"> (sales_data[[#This Row],[Sales]]* (100 - sales_data[[#This Row],[Discount]]))/100</f>
        <v>12424.044689007198</v>
      </c>
    </row>
    <row r="608" spans="1:15" x14ac:dyDescent="0.5">
      <c r="A608" s="1" t="s">
        <v>452</v>
      </c>
      <c r="B608" s="1" t="s">
        <v>22</v>
      </c>
      <c r="C608">
        <v>13616.257120898401</v>
      </c>
      <c r="D608">
        <v>0</v>
      </c>
      <c r="E608" s="2">
        <v>45311</v>
      </c>
      <c r="F608" s="1">
        <v>102</v>
      </c>
      <c r="G608" s="1">
        <v>52</v>
      </c>
      <c r="H608" s="1" t="s">
        <v>15</v>
      </c>
      <c r="I608" s="1" t="s">
        <v>23</v>
      </c>
      <c r="J608" s="1" t="s">
        <v>34</v>
      </c>
      <c r="K608" s="1" t="s">
        <v>35</v>
      </c>
      <c r="L608" s="5" t="s">
        <v>58</v>
      </c>
      <c r="M608" s="1" t="s">
        <v>31</v>
      </c>
      <c r="N608" s="1" t="str">
        <f>YEAR(sales_data[[#This Row],[Date]]) &amp; "-" &amp; TEXT(MONTH(sales_data[[#This Row],[Date]]), "00")</f>
        <v>2024-01</v>
      </c>
      <c r="O608" s="1">
        <f xml:space="preserve"> (sales_data[[#This Row],[Sales]]* (100 - sales_data[[#This Row],[Discount]]))/100</f>
        <v>13616.257120898401</v>
      </c>
    </row>
    <row r="609" spans="1:15" x14ac:dyDescent="0.5">
      <c r="A609" s="1" t="s">
        <v>658</v>
      </c>
      <c r="B609" s="1" t="s">
        <v>50</v>
      </c>
      <c r="C609">
        <v>22862.913906780701</v>
      </c>
      <c r="D609">
        <v>0</v>
      </c>
      <c r="E609" s="2">
        <v>45312</v>
      </c>
      <c r="F609" s="1">
        <v>148</v>
      </c>
      <c r="G609" s="1">
        <v>96</v>
      </c>
      <c r="H609" s="1" t="s">
        <v>15</v>
      </c>
      <c r="I609" s="1" t="s">
        <v>16</v>
      </c>
      <c r="J609" s="1" t="s">
        <v>24</v>
      </c>
      <c r="K609" s="1" t="s">
        <v>18</v>
      </c>
      <c r="L609" s="5" t="s">
        <v>46</v>
      </c>
      <c r="M609" s="1" t="s">
        <v>20</v>
      </c>
      <c r="N609" s="1" t="str">
        <f>YEAR(sales_data[[#This Row],[Date]]) &amp; "-" &amp; TEXT(MONTH(sales_data[[#This Row],[Date]]), "00")</f>
        <v>2024-01</v>
      </c>
      <c r="O609" s="1">
        <f xml:space="preserve"> (sales_data[[#This Row],[Sales]]* (100 - sales_data[[#This Row],[Discount]]))/100</f>
        <v>22862.913906780701</v>
      </c>
    </row>
    <row r="610" spans="1:15" x14ac:dyDescent="0.5">
      <c r="A610" s="1" t="s">
        <v>163</v>
      </c>
      <c r="B610" s="1" t="s">
        <v>22</v>
      </c>
      <c r="C610">
        <v>16746.7871543908</v>
      </c>
      <c r="D610">
        <v>10</v>
      </c>
      <c r="E610" s="2">
        <v>45313</v>
      </c>
      <c r="F610" s="1">
        <v>180</v>
      </c>
      <c r="G610" s="1">
        <v>51</v>
      </c>
      <c r="H610" s="1" t="s">
        <v>15</v>
      </c>
      <c r="I610" s="1" t="s">
        <v>16</v>
      </c>
      <c r="J610" s="1" t="s">
        <v>24</v>
      </c>
      <c r="K610" s="1" t="s">
        <v>35</v>
      </c>
      <c r="L610" s="5" t="s">
        <v>85</v>
      </c>
      <c r="M610" s="1" t="s">
        <v>20</v>
      </c>
      <c r="N610" s="1" t="str">
        <f>YEAR(sales_data[[#This Row],[Date]]) &amp; "-" &amp; TEXT(MONTH(sales_data[[#This Row],[Date]]), "00")</f>
        <v>2024-01</v>
      </c>
      <c r="O610" s="1">
        <f xml:space="preserve"> (sales_data[[#This Row],[Sales]]* (100 - sales_data[[#This Row],[Discount]]))/100</f>
        <v>15072.10843895172</v>
      </c>
    </row>
    <row r="611" spans="1:15" x14ac:dyDescent="0.5">
      <c r="A611" s="1" t="s">
        <v>562</v>
      </c>
      <c r="B611" s="1" t="s">
        <v>50</v>
      </c>
      <c r="C611">
        <v>26392.2593130364</v>
      </c>
      <c r="D611">
        <v>0</v>
      </c>
      <c r="E611" s="2">
        <v>45313</v>
      </c>
      <c r="F611" s="1">
        <v>133</v>
      </c>
      <c r="G611" s="1">
        <v>62</v>
      </c>
      <c r="H611" s="1" t="s">
        <v>15</v>
      </c>
      <c r="I611" s="1" t="s">
        <v>23</v>
      </c>
      <c r="J611" s="1" t="s">
        <v>24</v>
      </c>
      <c r="K611" s="1" t="s">
        <v>25</v>
      </c>
      <c r="L611" s="5" t="s">
        <v>38</v>
      </c>
      <c r="M611" s="1" t="s">
        <v>31</v>
      </c>
      <c r="N611" s="1" t="str">
        <f>YEAR(sales_data[[#This Row],[Date]]) &amp; "-" &amp; TEXT(MONTH(sales_data[[#This Row],[Date]]), "00")</f>
        <v>2024-01</v>
      </c>
      <c r="O611" s="1">
        <f xml:space="preserve"> (sales_data[[#This Row],[Sales]]* (100 - sales_data[[#This Row],[Discount]]))/100</f>
        <v>26392.2593130364</v>
      </c>
    </row>
    <row r="612" spans="1:15" x14ac:dyDescent="0.5">
      <c r="A612" s="1" t="s">
        <v>678</v>
      </c>
      <c r="B612" s="1" t="s">
        <v>29</v>
      </c>
      <c r="C612">
        <v>22120.829732009501</v>
      </c>
      <c r="D612">
        <v>0</v>
      </c>
      <c r="E612" s="2">
        <v>45314</v>
      </c>
      <c r="F612" s="1">
        <v>102</v>
      </c>
      <c r="G612" s="1">
        <v>3</v>
      </c>
      <c r="H612" s="1" t="s">
        <v>15</v>
      </c>
      <c r="I612" s="1" t="s">
        <v>16</v>
      </c>
      <c r="J612" s="1" t="s">
        <v>34</v>
      </c>
      <c r="K612" s="1" t="s">
        <v>25</v>
      </c>
      <c r="L612" s="5" t="s">
        <v>54</v>
      </c>
      <c r="M612" s="1" t="s">
        <v>55</v>
      </c>
      <c r="N612" s="1" t="str">
        <f>YEAR(sales_data[[#This Row],[Date]]) &amp; "-" &amp; TEXT(MONTH(sales_data[[#This Row],[Date]]), "00")</f>
        <v>2024-01</v>
      </c>
      <c r="O612" s="1">
        <f xml:space="preserve"> (sales_data[[#This Row],[Sales]]* (100 - sales_data[[#This Row],[Discount]]))/100</f>
        <v>22120.829732009497</v>
      </c>
    </row>
    <row r="613" spans="1:15" x14ac:dyDescent="0.5">
      <c r="A613" s="1" t="s">
        <v>951</v>
      </c>
      <c r="B613" s="1" t="s">
        <v>50</v>
      </c>
      <c r="C613">
        <v>19969.645442300502</v>
      </c>
      <c r="D613">
        <v>5</v>
      </c>
      <c r="E613" s="2">
        <v>45314</v>
      </c>
      <c r="F613" s="1">
        <v>110</v>
      </c>
      <c r="G613" s="1">
        <v>95</v>
      </c>
      <c r="H613" s="1" t="s">
        <v>15</v>
      </c>
      <c r="I613" s="1" t="s">
        <v>16</v>
      </c>
      <c r="J613" s="1" t="s">
        <v>24</v>
      </c>
      <c r="K613" s="1" t="s">
        <v>18</v>
      </c>
      <c r="L613" s="5" t="s">
        <v>38</v>
      </c>
      <c r="M613" s="1" t="s">
        <v>20</v>
      </c>
      <c r="N613" s="1" t="str">
        <f>YEAR(sales_data[[#This Row],[Date]]) &amp; "-" &amp; TEXT(MONTH(sales_data[[#This Row],[Date]]), "00")</f>
        <v>2024-01</v>
      </c>
      <c r="O613" s="1">
        <f xml:space="preserve"> (sales_data[[#This Row],[Sales]]* (100 - sales_data[[#This Row],[Discount]]))/100</f>
        <v>18971.163170185475</v>
      </c>
    </row>
    <row r="614" spans="1:15" x14ac:dyDescent="0.5">
      <c r="A614" s="1" t="s">
        <v>111</v>
      </c>
      <c r="B614" s="1" t="s">
        <v>22</v>
      </c>
      <c r="C614">
        <v>15071.3697683222</v>
      </c>
      <c r="D614">
        <v>10</v>
      </c>
      <c r="E614" s="2">
        <v>45317</v>
      </c>
      <c r="F614" s="1">
        <v>145</v>
      </c>
      <c r="G614" s="1">
        <v>96</v>
      </c>
      <c r="H614" s="1" t="s">
        <v>15</v>
      </c>
      <c r="I614" s="1" t="s">
        <v>23</v>
      </c>
      <c r="J614" s="1" t="s">
        <v>17</v>
      </c>
      <c r="K614" s="1" t="s">
        <v>25</v>
      </c>
      <c r="L614" s="5" t="s">
        <v>19</v>
      </c>
      <c r="M614" s="1" t="s">
        <v>31</v>
      </c>
      <c r="N614" s="1" t="str">
        <f>YEAR(sales_data[[#This Row],[Date]]) &amp; "-" &amp; TEXT(MONTH(sales_data[[#This Row],[Date]]), "00")</f>
        <v>2024-01</v>
      </c>
      <c r="O614" s="1">
        <f xml:space="preserve"> (sales_data[[#This Row],[Sales]]* (100 - sales_data[[#This Row],[Discount]]))/100</f>
        <v>13564.23279148998</v>
      </c>
    </row>
    <row r="615" spans="1:15" x14ac:dyDescent="0.5">
      <c r="A615" s="1" t="s">
        <v>978</v>
      </c>
      <c r="B615" s="1" t="s">
        <v>29</v>
      </c>
      <c r="C615">
        <v>19065.143485072698</v>
      </c>
      <c r="D615">
        <v>15</v>
      </c>
      <c r="E615" s="2">
        <v>45317</v>
      </c>
      <c r="F615" s="1">
        <v>190</v>
      </c>
      <c r="G615" s="1">
        <v>52</v>
      </c>
      <c r="H615" s="1" t="s">
        <v>15</v>
      </c>
      <c r="I615" s="1" t="s">
        <v>23</v>
      </c>
      <c r="J615" s="1" t="s">
        <v>34</v>
      </c>
      <c r="K615" s="1" t="s">
        <v>18</v>
      </c>
      <c r="L615" s="5" t="s">
        <v>30</v>
      </c>
      <c r="M615" s="1" t="s">
        <v>20</v>
      </c>
      <c r="N615" s="1" t="str">
        <f>YEAR(sales_data[[#This Row],[Date]]) &amp; "-" &amp; TEXT(MONTH(sales_data[[#This Row],[Date]]), "00")</f>
        <v>2024-01</v>
      </c>
      <c r="O615" s="1">
        <f xml:space="preserve"> (sales_data[[#This Row],[Sales]]* (100 - sales_data[[#This Row],[Discount]]))/100</f>
        <v>16205.371962311794</v>
      </c>
    </row>
    <row r="616" spans="1:15" x14ac:dyDescent="0.5">
      <c r="A616" s="1" t="s">
        <v>341</v>
      </c>
      <c r="B616" s="1" t="s">
        <v>50</v>
      </c>
      <c r="C616">
        <v>17377.398668601101</v>
      </c>
      <c r="D616">
        <v>10</v>
      </c>
      <c r="E616" s="2">
        <v>45318</v>
      </c>
      <c r="F616" s="1">
        <v>145</v>
      </c>
      <c r="G616" s="1">
        <v>23</v>
      </c>
      <c r="H616" s="1" t="s">
        <v>15</v>
      </c>
      <c r="I616" s="1" t="s">
        <v>16</v>
      </c>
      <c r="J616" s="1" t="s">
        <v>17</v>
      </c>
      <c r="K616" s="1" t="s">
        <v>35</v>
      </c>
      <c r="L616" s="5" t="s">
        <v>85</v>
      </c>
      <c r="M616" s="1" t="s">
        <v>44</v>
      </c>
      <c r="N616" s="1" t="str">
        <f>YEAR(sales_data[[#This Row],[Date]]) &amp; "-" &amp; TEXT(MONTH(sales_data[[#This Row],[Date]]), "00")</f>
        <v>2024-01</v>
      </c>
      <c r="O616" s="1">
        <f xml:space="preserve"> (sales_data[[#This Row],[Sales]]* (100 - sales_data[[#This Row],[Discount]]))/100</f>
        <v>15639.65880174099</v>
      </c>
    </row>
    <row r="617" spans="1:15" x14ac:dyDescent="0.5">
      <c r="A617" s="1" t="s">
        <v>742</v>
      </c>
      <c r="B617" s="1" t="s">
        <v>50</v>
      </c>
      <c r="C617">
        <v>30383.7399178042</v>
      </c>
      <c r="D617">
        <v>0</v>
      </c>
      <c r="E617" s="2">
        <v>45319</v>
      </c>
      <c r="F617" s="1">
        <v>127</v>
      </c>
      <c r="G617" s="1">
        <v>88</v>
      </c>
      <c r="H617" s="1" t="s">
        <v>15</v>
      </c>
      <c r="I617" s="1" t="s">
        <v>33</v>
      </c>
      <c r="J617" s="1" t="s">
        <v>34</v>
      </c>
      <c r="K617" s="1" t="s">
        <v>25</v>
      </c>
      <c r="L617" s="5" t="s">
        <v>43</v>
      </c>
      <c r="M617" s="1" t="s">
        <v>41</v>
      </c>
      <c r="N617" s="1" t="str">
        <f>YEAR(sales_data[[#This Row],[Date]]) &amp; "-" &amp; TEXT(MONTH(sales_data[[#This Row],[Date]]), "00")</f>
        <v>2024-01</v>
      </c>
      <c r="O617" s="1">
        <f xml:space="preserve"> (sales_data[[#This Row],[Sales]]* (100 - sales_data[[#This Row],[Discount]]))/100</f>
        <v>30383.7399178042</v>
      </c>
    </row>
    <row r="618" spans="1:15" x14ac:dyDescent="0.5">
      <c r="A618" s="1" t="s">
        <v>219</v>
      </c>
      <c r="B618" s="1" t="s">
        <v>22</v>
      </c>
      <c r="C618">
        <v>21448.874284482001</v>
      </c>
      <c r="D618">
        <v>0</v>
      </c>
      <c r="E618" s="2">
        <v>45320</v>
      </c>
      <c r="F618" s="1">
        <v>146</v>
      </c>
      <c r="G618" s="1">
        <v>66</v>
      </c>
      <c r="H618" s="1" t="s">
        <v>15</v>
      </c>
      <c r="I618" s="1" t="s">
        <v>16</v>
      </c>
      <c r="J618" s="1" t="s">
        <v>24</v>
      </c>
      <c r="K618" s="1" t="s">
        <v>18</v>
      </c>
      <c r="L618" s="5" t="s">
        <v>85</v>
      </c>
      <c r="M618" s="1" t="s">
        <v>41</v>
      </c>
      <c r="N618" s="1" t="str">
        <f>YEAR(sales_data[[#This Row],[Date]]) &amp; "-" &amp; TEXT(MONTH(sales_data[[#This Row],[Date]]), "00")</f>
        <v>2024-01</v>
      </c>
      <c r="O618" s="1">
        <f xml:space="preserve"> (sales_data[[#This Row],[Sales]]* (100 - sales_data[[#This Row],[Discount]]))/100</f>
        <v>21448.874284482001</v>
      </c>
    </row>
    <row r="619" spans="1:15" x14ac:dyDescent="0.5">
      <c r="A619" s="1" t="s">
        <v>320</v>
      </c>
      <c r="B619" s="1" t="s">
        <v>22</v>
      </c>
      <c r="C619">
        <v>17265.705293798001</v>
      </c>
      <c r="D619">
        <v>0</v>
      </c>
      <c r="E619" s="2">
        <v>45321</v>
      </c>
      <c r="F619" s="1">
        <v>127</v>
      </c>
      <c r="G619" s="1">
        <v>50</v>
      </c>
      <c r="H619" s="1" t="s">
        <v>15</v>
      </c>
      <c r="I619" s="1" t="s">
        <v>23</v>
      </c>
      <c r="J619" s="1" t="s">
        <v>17</v>
      </c>
      <c r="K619" s="1" t="s">
        <v>35</v>
      </c>
      <c r="L619" s="5" t="s">
        <v>58</v>
      </c>
      <c r="M619" s="1" t="s">
        <v>44</v>
      </c>
      <c r="N619" s="1" t="str">
        <f>YEAR(sales_data[[#This Row],[Date]]) &amp; "-" &amp; TEXT(MONTH(sales_data[[#This Row],[Date]]), "00")</f>
        <v>2024-01</v>
      </c>
      <c r="O619" s="1">
        <f xml:space="preserve"> (sales_data[[#This Row],[Sales]]* (100 - sales_data[[#This Row],[Discount]]))/100</f>
        <v>17265.705293798001</v>
      </c>
    </row>
    <row r="620" spans="1:15" x14ac:dyDescent="0.5">
      <c r="A620" s="1" t="s">
        <v>420</v>
      </c>
      <c r="B620" s="1" t="s">
        <v>22</v>
      </c>
      <c r="C620">
        <v>20610.049073226801</v>
      </c>
      <c r="D620">
        <v>15</v>
      </c>
      <c r="E620" s="2">
        <v>45321</v>
      </c>
      <c r="F620" s="1">
        <v>170</v>
      </c>
      <c r="G620" s="1">
        <v>1</v>
      </c>
      <c r="H620" s="1" t="s">
        <v>15</v>
      </c>
      <c r="I620" s="1" t="s">
        <v>23</v>
      </c>
      <c r="J620" s="1" t="s">
        <v>34</v>
      </c>
      <c r="K620" s="1" t="s">
        <v>25</v>
      </c>
      <c r="L620" s="5" t="s">
        <v>85</v>
      </c>
      <c r="M620" s="1" t="s">
        <v>20</v>
      </c>
      <c r="N620" s="1" t="str">
        <f>YEAR(sales_data[[#This Row],[Date]]) &amp; "-" &amp; TEXT(MONTH(sales_data[[#This Row],[Date]]), "00")</f>
        <v>2024-01</v>
      </c>
      <c r="O620" s="1">
        <f xml:space="preserve"> (sales_data[[#This Row],[Sales]]* (100 - sales_data[[#This Row],[Discount]]))/100</f>
        <v>17518.541712242783</v>
      </c>
    </row>
    <row r="621" spans="1:15" x14ac:dyDescent="0.5">
      <c r="A621" s="1" t="s">
        <v>439</v>
      </c>
      <c r="B621" s="1" t="s">
        <v>14</v>
      </c>
      <c r="C621">
        <v>20888.5050046662</v>
      </c>
      <c r="D621">
        <v>5</v>
      </c>
      <c r="E621" s="2">
        <v>45321</v>
      </c>
      <c r="F621" s="1">
        <v>165</v>
      </c>
      <c r="G621" s="1">
        <v>68</v>
      </c>
      <c r="H621" s="1" t="s">
        <v>15</v>
      </c>
      <c r="I621" s="1" t="s">
        <v>23</v>
      </c>
      <c r="J621" s="1" t="s">
        <v>17</v>
      </c>
      <c r="K621" s="1" t="s">
        <v>35</v>
      </c>
      <c r="L621" s="5" t="s">
        <v>58</v>
      </c>
      <c r="M621" s="1" t="s">
        <v>48</v>
      </c>
      <c r="N621" s="1" t="str">
        <f>YEAR(sales_data[[#This Row],[Date]]) &amp; "-" &amp; TEXT(MONTH(sales_data[[#This Row],[Date]]), "00")</f>
        <v>2024-01</v>
      </c>
      <c r="O621" s="1">
        <f xml:space="preserve"> (sales_data[[#This Row],[Sales]]* (100 - sales_data[[#This Row],[Discount]]))/100</f>
        <v>19844.079754432889</v>
      </c>
    </row>
    <row r="622" spans="1:15" x14ac:dyDescent="0.5">
      <c r="A622" s="1" t="s">
        <v>519</v>
      </c>
      <c r="B622" s="1" t="s">
        <v>14</v>
      </c>
      <c r="C622">
        <v>21014.6151042565</v>
      </c>
      <c r="D622">
        <v>10</v>
      </c>
      <c r="E622" s="2">
        <v>45321</v>
      </c>
      <c r="F622" s="1">
        <v>129</v>
      </c>
      <c r="G622" s="1">
        <v>28</v>
      </c>
      <c r="H622" s="1" t="s">
        <v>15</v>
      </c>
      <c r="I622" s="1" t="s">
        <v>33</v>
      </c>
      <c r="J622" s="1" t="s">
        <v>17</v>
      </c>
      <c r="K622" s="1" t="s">
        <v>25</v>
      </c>
      <c r="L622" s="5" t="s">
        <v>19</v>
      </c>
      <c r="M622" s="1" t="s">
        <v>44</v>
      </c>
      <c r="N622" s="1" t="str">
        <f>YEAR(sales_data[[#This Row],[Date]]) &amp; "-" &amp; TEXT(MONTH(sales_data[[#This Row],[Date]]), "00")</f>
        <v>2024-01</v>
      </c>
      <c r="O622" s="1">
        <f xml:space="preserve"> (sales_data[[#This Row],[Sales]]* (100 - sales_data[[#This Row],[Discount]]))/100</f>
        <v>18913.153593830852</v>
      </c>
    </row>
    <row r="623" spans="1:15" x14ac:dyDescent="0.5">
      <c r="A623" s="1" t="s">
        <v>547</v>
      </c>
      <c r="B623" s="1" t="s">
        <v>29</v>
      </c>
      <c r="C623">
        <v>22953.274153461502</v>
      </c>
      <c r="D623">
        <v>10</v>
      </c>
      <c r="E623" s="2">
        <v>45321</v>
      </c>
      <c r="F623" s="1">
        <v>187</v>
      </c>
      <c r="G623" s="1">
        <v>39</v>
      </c>
      <c r="H623" s="1" t="s">
        <v>15</v>
      </c>
      <c r="I623" s="1" t="s">
        <v>33</v>
      </c>
      <c r="J623" s="1" t="s">
        <v>34</v>
      </c>
      <c r="K623" s="1" t="s">
        <v>18</v>
      </c>
      <c r="L623" s="5" t="s">
        <v>36</v>
      </c>
      <c r="M623" s="1" t="s">
        <v>27</v>
      </c>
      <c r="N623" s="1" t="str">
        <f>YEAR(sales_data[[#This Row],[Date]]) &amp; "-" &amp; TEXT(MONTH(sales_data[[#This Row],[Date]]), "00")</f>
        <v>2024-01</v>
      </c>
      <c r="O623" s="1">
        <f xml:space="preserve"> (sales_data[[#This Row],[Sales]]* (100 - sales_data[[#This Row],[Discount]]))/100</f>
        <v>20657.946738115352</v>
      </c>
    </row>
    <row r="624" spans="1:15" x14ac:dyDescent="0.5">
      <c r="A624" s="1" t="s">
        <v>975</v>
      </c>
      <c r="B624" s="1" t="s">
        <v>14</v>
      </c>
      <c r="C624">
        <v>14674.431684623099</v>
      </c>
      <c r="D624">
        <v>5</v>
      </c>
      <c r="E624" s="2">
        <v>45321</v>
      </c>
      <c r="F624" s="1">
        <v>118</v>
      </c>
      <c r="G624" s="1">
        <v>88</v>
      </c>
      <c r="H624" s="1" t="s">
        <v>15</v>
      </c>
      <c r="I624" s="1" t="s">
        <v>23</v>
      </c>
      <c r="J624" s="1" t="s">
        <v>24</v>
      </c>
      <c r="K624" s="1" t="s">
        <v>25</v>
      </c>
      <c r="L624" s="5" t="s">
        <v>19</v>
      </c>
      <c r="M624" s="1" t="s">
        <v>31</v>
      </c>
      <c r="N624" s="1" t="str">
        <f>YEAR(sales_data[[#This Row],[Date]]) &amp; "-" &amp; TEXT(MONTH(sales_data[[#This Row],[Date]]), "00")</f>
        <v>2024-01</v>
      </c>
      <c r="O624" s="1">
        <f xml:space="preserve"> (sales_data[[#This Row],[Sales]]* (100 - sales_data[[#This Row],[Discount]]))/100</f>
        <v>13940.710100391945</v>
      </c>
    </row>
    <row r="625" spans="1:15" x14ac:dyDescent="0.5">
      <c r="A625" s="1" t="s">
        <v>993</v>
      </c>
      <c r="B625" s="1" t="s">
        <v>50</v>
      </c>
      <c r="C625">
        <v>20743.337286010501</v>
      </c>
      <c r="D625">
        <v>15</v>
      </c>
      <c r="E625" s="2">
        <v>45321</v>
      </c>
      <c r="F625" s="1">
        <v>123</v>
      </c>
      <c r="G625" s="1">
        <v>56</v>
      </c>
      <c r="H625" s="1" t="s">
        <v>15</v>
      </c>
      <c r="I625" s="1" t="s">
        <v>16</v>
      </c>
      <c r="J625" s="1" t="s">
        <v>24</v>
      </c>
      <c r="K625" s="1" t="s">
        <v>35</v>
      </c>
      <c r="L625" s="5" t="s">
        <v>30</v>
      </c>
      <c r="M625" s="1" t="s">
        <v>44</v>
      </c>
      <c r="N625" s="1" t="str">
        <f>YEAR(sales_data[[#This Row],[Date]]) &amp; "-" &amp; TEXT(MONTH(sales_data[[#This Row],[Date]]), "00")</f>
        <v>2024-01</v>
      </c>
      <c r="O625" s="1">
        <f xml:space="preserve"> (sales_data[[#This Row],[Sales]]* (100 - sales_data[[#This Row],[Discount]]))/100</f>
        <v>17631.836693108926</v>
      </c>
    </row>
    <row r="626" spans="1:15" x14ac:dyDescent="0.5">
      <c r="A626" s="1" t="s">
        <v>672</v>
      </c>
      <c r="B626" s="1" t="s">
        <v>50</v>
      </c>
      <c r="C626">
        <v>16554.060909552099</v>
      </c>
      <c r="D626">
        <v>15</v>
      </c>
      <c r="E626" s="2">
        <v>45322</v>
      </c>
      <c r="F626" s="1">
        <v>180</v>
      </c>
      <c r="G626" s="1">
        <v>29</v>
      </c>
      <c r="H626" s="1" t="s">
        <v>15</v>
      </c>
      <c r="I626" s="1" t="s">
        <v>33</v>
      </c>
      <c r="J626" s="1" t="s">
        <v>24</v>
      </c>
      <c r="K626" s="1" t="s">
        <v>35</v>
      </c>
      <c r="L626" s="5" t="s">
        <v>43</v>
      </c>
      <c r="M626" s="1" t="s">
        <v>27</v>
      </c>
      <c r="N626" s="1" t="str">
        <f>YEAR(sales_data[[#This Row],[Date]]) &amp; "-" &amp; TEXT(MONTH(sales_data[[#This Row],[Date]]), "00")</f>
        <v>2024-01</v>
      </c>
      <c r="O626" s="1">
        <f xml:space="preserve"> (sales_data[[#This Row],[Sales]]* (100 - sales_data[[#This Row],[Discount]]))/100</f>
        <v>14070.951773119285</v>
      </c>
    </row>
    <row r="627" spans="1:15" x14ac:dyDescent="0.5">
      <c r="A627" s="1" t="s">
        <v>763</v>
      </c>
      <c r="B627" s="1" t="s">
        <v>22</v>
      </c>
      <c r="C627">
        <v>25540.914083687501</v>
      </c>
      <c r="D627">
        <v>15</v>
      </c>
      <c r="E627" s="2">
        <v>45323</v>
      </c>
      <c r="F627" s="1">
        <v>189</v>
      </c>
      <c r="G627" s="1">
        <v>6</v>
      </c>
      <c r="H627" s="1" t="s">
        <v>15</v>
      </c>
      <c r="I627" s="1" t="s">
        <v>23</v>
      </c>
      <c r="J627" s="1" t="s">
        <v>34</v>
      </c>
      <c r="K627" s="1" t="s">
        <v>18</v>
      </c>
      <c r="L627" s="5" t="s">
        <v>38</v>
      </c>
      <c r="M627" s="1" t="s">
        <v>31</v>
      </c>
      <c r="N627" s="1" t="str">
        <f>YEAR(sales_data[[#This Row],[Date]]) &amp; "-" &amp; TEXT(MONTH(sales_data[[#This Row],[Date]]), "00")</f>
        <v>2024-02</v>
      </c>
      <c r="O627" s="1">
        <f xml:space="preserve"> (sales_data[[#This Row],[Sales]]* (100 - sales_data[[#This Row],[Discount]]))/100</f>
        <v>21709.776971134375</v>
      </c>
    </row>
    <row r="628" spans="1:15" x14ac:dyDescent="0.5">
      <c r="A628" s="1" t="s">
        <v>856</v>
      </c>
      <c r="B628" s="1" t="s">
        <v>14</v>
      </c>
      <c r="C628">
        <v>22762.4497720857</v>
      </c>
      <c r="D628">
        <v>10</v>
      </c>
      <c r="E628" s="2">
        <v>45325</v>
      </c>
      <c r="F628" s="1">
        <v>158</v>
      </c>
      <c r="G628" s="1">
        <v>75</v>
      </c>
      <c r="H628" s="1" t="s">
        <v>15</v>
      </c>
      <c r="I628" s="1" t="s">
        <v>33</v>
      </c>
      <c r="J628" s="1" t="s">
        <v>34</v>
      </c>
      <c r="K628" s="1" t="s">
        <v>35</v>
      </c>
      <c r="L628" s="5" t="s">
        <v>19</v>
      </c>
      <c r="M628" s="1" t="s">
        <v>44</v>
      </c>
      <c r="N628" s="1" t="str">
        <f>YEAR(sales_data[[#This Row],[Date]]) &amp; "-" &amp; TEXT(MONTH(sales_data[[#This Row],[Date]]), "00")</f>
        <v>2024-02</v>
      </c>
      <c r="O628" s="1">
        <f xml:space="preserve"> (sales_data[[#This Row],[Sales]]* (100 - sales_data[[#This Row],[Discount]]))/100</f>
        <v>20486.204794877129</v>
      </c>
    </row>
    <row r="629" spans="1:15" x14ac:dyDescent="0.5">
      <c r="A629" s="1" t="s">
        <v>258</v>
      </c>
      <c r="B629" s="1" t="s">
        <v>40</v>
      </c>
      <c r="C629">
        <v>21886.502465224199</v>
      </c>
      <c r="D629">
        <v>10</v>
      </c>
      <c r="E629" s="2">
        <v>45326</v>
      </c>
      <c r="F629" s="1">
        <v>150</v>
      </c>
      <c r="G629" s="1">
        <v>19</v>
      </c>
      <c r="H629" s="1" t="s">
        <v>15</v>
      </c>
      <c r="I629" s="1" t="s">
        <v>16</v>
      </c>
      <c r="J629" s="1" t="s">
        <v>34</v>
      </c>
      <c r="K629" s="1" t="s">
        <v>35</v>
      </c>
      <c r="L629" s="5" t="s">
        <v>46</v>
      </c>
      <c r="M629" s="1" t="s">
        <v>44</v>
      </c>
      <c r="N629" s="1" t="str">
        <f>YEAR(sales_data[[#This Row],[Date]]) &amp; "-" &amp; TEXT(MONTH(sales_data[[#This Row],[Date]]), "00")</f>
        <v>2024-02</v>
      </c>
      <c r="O629" s="1">
        <f xml:space="preserve"> (sales_data[[#This Row],[Sales]]* (100 - sales_data[[#This Row],[Discount]]))/100</f>
        <v>19697.852218701781</v>
      </c>
    </row>
    <row r="630" spans="1:15" x14ac:dyDescent="0.5">
      <c r="A630" s="1" t="s">
        <v>917</v>
      </c>
      <c r="B630" s="1" t="s">
        <v>50</v>
      </c>
      <c r="C630">
        <v>16474.940721207899</v>
      </c>
      <c r="D630">
        <v>0</v>
      </c>
      <c r="E630" s="2">
        <v>45326</v>
      </c>
      <c r="F630" s="1">
        <v>193</v>
      </c>
      <c r="G630" s="1">
        <v>26</v>
      </c>
      <c r="H630" s="1" t="s">
        <v>15</v>
      </c>
      <c r="I630" s="1" t="s">
        <v>16</v>
      </c>
      <c r="J630" s="1" t="s">
        <v>24</v>
      </c>
      <c r="K630" s="1" t="s">
        <v>35</v>
      </c>
      <c r="L630" s="5" t="s">
        <v>85</v>
      </c>
      <c r="M630" s="1" t="s">
        <v>31</v>
      </c>
      <c r="N630" s="1" t="str">
        <f>YEAR(sales_data[[#This Row],[Date]]) &amp; "-" &amp; TEXT(MONTH(sales_data[[#This Row],[Date]]), "00")</f>
        <v>2024-02</v>
      </c>
      <c r="O630" s="1">
        <f xml:space="preserve"> (sales_data[[#This Row],[Sales]]* (100 - sales_data[[#This Row],[Discount]]))/100</f>
        <v>16474.940721207899</v>
      </c>
    </row>
    <row r="631" spans="1:15" x14ac:dyDescent="0.5">
      <c r="A631" s="1" t="s">
        <v>364</v>
      </c>
      <c r="B631" s="1" t="s">
        <v>50</v>
      </c>
      <c r="C631">
        <v>23030.0497567282</v>
      </c>
      <c r="D631">
        <v>15</v>
      </c>
      <c r="E631" s="2">
        <v>45327</v>
      </c>
      <c r="F631" s="1">
        <v>152</v>
      </c>
      <c r="G631" s="1">
        <v>10</v>
      </c>
      <c r="H631" s="1" t="s">
        <v>38</v>
      </c>
      <c r="I631" s="1" t="s">
        <v>16</v>
      </c>
      <c r="J631" s="1" t="s">
        <v>17</v>
      </c>
      <c r="K631" s="1" t="s">
        <v>35</v>
      </c>
      <c r="L631" s="5" t="s">
        <v>58</v>
      </c>
      <c r="M631" s="1" t="s">
        <v>27</v>
      </c>
      <c r="N631" s="1" t="str">
        <f>YEAR(sales_data[[#This Row],[Date]]) &amp; "-" &amp; TEXT(MONTH(sales_data[[#This Row],[Date]]), "00")</f>
        <v>2024-02</v>
      </c>
      <c r="O631" s="1">
        <f xml:space="preserve"> (sales_data[[#This Row],[Sales]]* (100 - sales_data[[#This Row],[Discount]]))/100</f>
        <v>19575.542293218969</v>
      </c>
    </row>
    <row r="632" spans="1:15" x14ac:dyDescent="0.5">
      <c r="A632" s="1" t="s">
        <v>722</v>
      </c>
      <c r="B632" s="1" t="s">
        <v>22</v>
      </c>
      <c r="C632">
        <v>11301.4311061095</v>
      </c>
      <c r="D632">
        <v>5</v>
      </c>
      <c r="E632" s="2">
        <v>45327</v>
      </c>
      <c r="F632" s="1">
        <v>106</v>
      </c>
      <c r="G632" s="1">
        <v>94</v>
      </c>
      <c r="H632" s="1" t="s">
        <v>15</v>
      </c>
      <c r="I632" s="1" t="s">
        <v>23</v>
      </c>
      <c r="J632" s="1" t="s">
        <v>34</v>
      </c>
      <c r="K632" s="1" t="s">
        <v>18</v>
      </c>
      <c r="L632" s="5" t="s">
        <v>38</v>
      </c>
      <c r="M632" s="1" t="s">
        <v>48</v>
      </c>
      <c r="N632" s="1" t="str">
        <f>YEAR(sales_data[[#This Row],[Date]]) &amp; "-" &amp; TEXT(MONTH(sales_data[[#This Row],[Date]]), "00")</f>
        <v>2024-02</v>
      </c>
      <c r="O632" s="1">
        <f xml:space="preserve"> (sales_data[[#This Row],[Sales]]* (100 - sales_data[[#This Row],[Discount]]))/100</f>
        <v>10736.359550804025</v>
      </c>
    </row>
    <row r="633" spans="1:15" x14ac:dyDescent="0.5">
      <c r="A633" s="1" t="s">
        <v>527</v>
      </c>
      <c r="B633" s="1" t="s">
        <v>29</v>
      </c>
      <c r="C633">
        <v>0</v>
      </c>
      <c r="D633">
        <v>10</v>
      </c>
      <c r="E633" s="2">
        <v>45328</v>
      </c>
      <c r="F633" s="1">
        <v>111</v>
      </c>
      <c r="G633" s="1">
        <v>19</v>
      </c>
      <c r="H633" s="1" t="s">
        <v>15</v>
      </c>
      <c r="I633" s="1" t="s">
        <v>16</v>
      </c>
      <c r="J633" s="1" t="s">
        <v>34</v>
      </c>
      <c r="K633" s="1" t="s">
        <v>25</v>
      </c>
      <c r="L633" s="5" t="s">
        <v>46</v>
      </c>
      <c r="M633" s="1" t="s">
        <v>55</v>
      </c>
      <c r="N633" s="1" t="str">
        <f>YEAR(sales_data[[#This Row],[Date]]) &amp; "-" &amp; TEXT(MONTH(sales_data[[#This Row],[Date]]), "00")</f>
        <v>2024-02</v>
      </c>
      <c r="O633" s="1">
        <f xml:space="preserve"> (sales_data[[#This Row],[Sales]]* (100 - sales_data[[#This Row],[Discount]]))/100</f>
        <v>0</v>
      </c>
    </row>
    <row r="634" spans="1:15" x14ac:dyDescent="0.5">
      <c r="A634" s="1" t="s">
        <v>860</v>
      </c>
      <c r="B634" s="1" t="s">
        <v>29</v>
      </c>
      <c r="C634">
        <v>17852.9722943737</v>
      </c>
      <c r="D634">
        <v>15</v>
      </c>
      <c r="E634" s="2">
        <v>45328</v>
      </c>
      <c r="F634" s="1">
        <v>179</v>
      </c>
      <c r="G634" s="1">
        <v>18</v>
      </c>
      <c r="H634" s="1" t="s">
        <v>15</v>
      </c>
      <c r="I634" s="1" t="s">
        <v>33</v>
      </c>
      <c r="J634" s="1" t="s">
        <v>24</v>
      </c>
      <c r="K634" s="1" t="s">
        <v>35</v>
      </c>
      <c r="L634" s="5" t="s">
        <v>36</v>
      </c>
      <c r="M634" s="1" t="s">
        <v>55</v>
      </c>
      <c r="N634" s="1" t="str">
        <f>YEAR(sales_data[[#This Row],[Date]]) &amp; "-" &amp; TEXT(MONTH(sales_data[[#This Row],[Date]]), "00")</f>
        <v>2024-02</v>
      </c>
      <c r="O634" s="1">
        <f xml:space="preserve"> (sales_data[[#This Row],[Sales]]* (100 - sales_data[[#This Row],[Discount]]))/100</f>
        <v>15175.026450217645</v>
      </c>
    </row>
    <row r="635" spans="1:15" x14ac:dyDescent="0.5">
      <c r="A635" s="1" t="s">
        <v>861</v>
      </c>
      <c r="B635" s="1" t="s">
        <v>29</v>
      </c>
      <c r="C635">
        <v>20611.4875151614</v>
      </c>
      <c r="D635">
        <v>15</v>
      </c>
      <c r="E635" s="2">
        <v>45329</v>
      </c>
      <c r="F635" s="1">
        <v>165</v>
      </c>
      <c r="G635" s="1">
        <v>27</v>
      </c>
      <c r="H635" s="1" t="s">
        <v>15</v>
      </c>
      <c r="I635" s="1" t="s">
        <v>33</v>
      </c>
      <c r="J635" s="1" t="s">
        <v>17</v>
      </c>
      <c r="K635" s="1" t="s">
        <v>18</v>
      </c>
      <c r="L635" s="5" t="s">
        <v>26</v>
      </c>
      <c r="M635" s="1" t="s">
        <v>27</v>
      </c>
      <c r="N635" s="1" t="str">
        <f>YEAR(sales_data[[#This Row],[Date]]) &amp; "-" &amp; TEXT(MONTH(sales_data[[#This Row],[Date]]), "00")</f>
        <v>2024-02</v>
      </c>
      <c r="O635" s="1">
        <f xml:space="preserve"> (sales_data[[#This Row],[Sales]]* (100 - sales_data[[#This Row],[Discount]]))/100</f>
        <v>17519.76438788719</v>
      </c>
    </row>
    <row r="636" spans="1:15" x14ac:dyDescent="0.5">
      <c r="A636" s="1" t="s">
        <v>1024</v>
      </c>
      <c r="B636" s="1" t="s">
        <v>50</v>
      </c>
      <c r="C636">
        <v>19207.352134865101</v>
      </c>
      <c r="D636">
        <v>15</v>
      </c>
      <c r="E636" s="2">
        <v>45329</v>
      </c>
      <c r="F636" s="1">
        <v>167</v>
      </c>
      <c r="G636" s="1">
        <v>24</v>
      </c>
      <c r="H636" s="1" t="s">
        <v>15</v>
      </c>
      <c r="I636" s="1" t="s">
        <v>23</v>
      </c>
      <c r="J636" s="1" t="s">
        <v>24</v>
      </c>
      <c r="K636" s="1" t="s">
        <v>25</v>
      </c>
      <c r="L636" s="5" t="s">
        <v>46</v>
      </c>
      <c r="M636" s="1" t="s">
        <v>41</v>
      </c>
      <c r="N636" s="1" t="str">
        <f>YEAR(sales_data[[#This Row],[Date]]) &amp; "-" &amp; TEXT(MONTH(sales_data[[#This Row],[Date]]), "00")</f>
        <v>2024-02</v>
      </c>
      <c r="O636" s="1">
        <f xml:space="preserve"> (sales_data[[#This Row],[Sales]]* (100 - sales_data[[#This Row],[Discount]]))/100</f>
        <v>16326.249314635335</v>
      </c>
    </row>
    <row r="637" spans="1:15" x14ac:dyDescent="0.5">
      <c r="A637" s="1" t="s">
        <v>557</v>
      </c>
      <c r="B637" s="1" t="s">
        <v>14</v>
      </c>
      <c r="C637">
        <v>26032.544832541698</v>
      </c>
      <c r="D637">
        <v>5</v>
      </c>
      <c r="E637" s="2">
        <v>45330</v>
      </c>
      <c r="F637" s="1">
        <v>110</v>
      </c>
      <c r="G637" s="1">
        <v>7</v>
      </c>
      <c r="H637" s="1" t="s">
        <v>15</v>
      </c>
      <c r="I637" s="1" t="s">
        <v>23</v>
      </c>
      <c r="J637" s="1" t="s">
        <v>17</v>
      </c>
      <c r="K637" s="1" t="s">
        <v>35</v>
      </c>
      <c r="L637" s="5" t="s">
        <v>46</v>
      </c>
      <c r="M637" s="1" t="s">
        <v>20</v>
      </c>
      <c r="N637" s="1" t="str">
        <f>YEAR(sales_data[[#This Row],[Date]]) &amp; "-" &amp; TEXT(MONTH(sales_data[[#This Row],[Date]]), "00")</f>
        <v>2024-02</v>
      </c>
      <c r="O637" s="1">
        <f xml:space="preserve"> (sales_data[[#This Row],[Sales]]* (100 - sales_data[[#This Row],[Discount]]))/100</f>
        <v>24730.917590914614</v>
      </c>
    </row>
    <row r="638" spans="1:15" x14ac:dyDescent="0.5">
      <c r="A638" s="1" t="s">
        <v>538</v>
      </c>
      <c r="B638" s="1" t="s">
        <v>50</v>
      </c>
      <c r="C638">
        <v>25941.966367240399</v>
      </c>
      <c r="D638">
        <v>15</v>
      </c>
      <c r="E638" s="2">
        <v>45331</v>
      </c>
      <c r="F638" s="1">
        <v>194</v>
      </c>
      <c r="G638" s="1">
        <v>34</v>
      </c>
      <c r="H638" s="1" t="s">
        <v>15</v>
      </c>
      <c r="I638" s="1" t="s">
        <v>16</v>
      </c>
      <c r="J638" s="1" t="s">
        <v>24</v>
      </c>
      <c r="K638" s="1" t="s">
        <v>35</v>
      </c>
      <c r="L638" s="5" t="s">
        <v>19</v>
      </c>
      <c r="M638" s="1" t="s">
        <v>44</v>
      </c>
      <c r="N638" s="1" t="str">
        <f>YEAR(sales_data[[#This Row],[Date]]) &amp; "-" &amp; TEXT(MONTH(sales_data[[#This Row],[Date]]), "00")</f>
        <v>2024-02</v>
      </c>
      <c r="O638" s="1">
        <f xml:space="preserve"> (sales_data[[#This Row],[Sales]]* (100 - sales_data[[#This Row],[Discount]]))/100</f>
        <v>22050.671412154337</v>
      </c>
    </row>
    <row r="639" spans="1:15" x14ac:dyDescent="0.5">
      <c r="A639" s="1" t="s">
        <v>820</v>
      </c>
      <c r="B639" s="1" t="s">
        <v>29</v>
      </c>
      <c r="C639">
        <v>31454.7128629537</v>
      </c>
      <c r="D639">
        <v>0</v>
      </c>
      <c r="E639" s="2">
        <v>45331</v>
      </c>
      <c r="F639" s="1">
        <v>193</v>
      </c>
      <c r="G639" s="1">
        <v>10</v>
      </c>
      <c r="H639" s="1" t="s">
        <v>15</v>
      </c>
      <c r="I639" s="1" t="s">
        <v>23</v>
      </c>
      <c r="J639" s="1" t="s">
        <v>17</v>
      </c>
      <c r="K639" s="1" t="s">
        <v>35</v>
      </c>
      <c r="L639" s="5" t="s">
        <v>36</v>
      </c>
      <c r="M639" s="1" t="s">
        <v>48</v>
      </c>
      <c r="N639" s="1" t="str">
        <f>YEAR(sales_data[[#This Row],[Date]]) &amp; "-" &amp; TEXT(MONTH(sales_data[[#This Row],[Date]]), "00")</f>
        <v>2024-02</v>
      </c>
      <c r="O639" s="1">
        <f xml:space="preserve"> (sales_data[[#This Row],[Sales]]* (100 - sales_data[[#This Row],[Discount]]))/100</f>
        <v>31454.712862953704</v>
      </c>
    </row>
    <row r="640" spans="1:15" x14ac:dyDescent="0.5">
      <c r="A640" s="1" t="s">
        <v>869</v>
      </c>
      <c r="B640" s="1" t="s">
        <v>22</v>
      </c>
      <c r="C640">
        <v>13780.683823043501</v>
      </c>
      <c r="D640">
        <v>0</v>
      </c>
      <c r="E640" s="2">
        <v>45332</v>
      </c>
      <c r="F640" s="1">
        <v>193</v>
      </c>
      <c r="G640" s="1">
        <v>5</v>
      </c>
      <c r="H640" s="1" t="s">
        <v>15</v>
      </c>
      <c r="I640" s="1" t="s">
        <v>33</v>
      </c>
      <c r="J640" s="1" t="s">
        <v>17</v>
      </c>
      <c r="K640" s="1" t="s">
        <v>18</v>
      </c>
      <c r="L640" s="5" t="s">
        <v>46</v>
      </c>
      <c r="M640" s="1" t="s">
        <v>41</v>
      </c>
      <c r="N640" s="1" t="str">
        <f>YEAR(sales_data[[#This Row],[Date]]) &amp; "-" &amp; TEXT(MONTH(sales_data[[#This Row],[Date]]), "00")</f>
        <v>2024-02</v>
      </c>
      <c r="O640" s="1">
        <f xml:space="preserve"> (sales_data[[#This Row],[Sales]]* (100 - sales_data[[#This Row],[Discount]]))/100</f>
        <v>13780.683823043502</v>
      </c>
    </row>
    <row r="641" spans="1:15" x14ac:dyDescent="0.5">
      <c r="A641" s="1" t="s">
        <v>120</v>
      </c>
      <c r="B641" s="1" t="s">
        <v>50</v>
      </c>
      <c r="C641">
        <v>20176.317759858601</v>
      </c>
      <c r="D641">
        <v>5</v>
      </c>
      <c r="E641" s="2">
        <v>45333</v>
      </c>
      <c r="F641" s="1">
        <v>117</v>
      </c>
      <c r="G641" s="1">
        <v>14</v>
      </c>
      <c r="H641" s="1" t="s">
        <v>15</v>
      </c>
      <c r="I641" s="1" t="s">
        <v>23</v>
      </c>
      <c r="J641" s="1" t="s">
        <v>17</v>
      </c>
      <c r="K641" s="1" t="s">
        <v>25</v>
      </c>
      <c r="L641" s="5" t="s">
        <v>54</v>
      </c>
      <c r="M641" s="1" t="s">
        <v>48</v>
      </c>
      <c r="N641" s="1" t="str">
        <f>YEAR(sales_data[[#This Row],[Date]]) &amp; "-" &amp; TEXT(MONTH(sales_data[[#This Row],[Date]]), "00")</f>
        <v>2024-02</v>
      </c>
      <c r="O641" s="1">
        <f xml:space="preserve"> (sales_data[[#This Row],[Sales]]* (100 - sales_data[[#This Row],[Discount]]))/100</f>
        <v>19167.501871865672</v>
      </c>
    </row>
    <row r="642" spans="1:15" x14ac:dyDescent="0.5">
      <c r="A642" s="1" t="s">
        <v>1022</v>
      </c>
      <c r="B642" s="1" t="s">
        <v>22</v>
      </c>
      <c r="C642">
        <v>15134.6552955922</v>
      </c>
      <c r="D642">
        <v>0</v>
      </c>
      <c r="E642" s="2">
        <v>45334</v>
      </c>
      <c r="F642" s="1">
        <v>185</v>
      </c>
      <c r="G642" s="1">
        <v>10</v>
      </c>
      <c r="H642" s="1" t="s">
        <v>15</v>
      </c>
      <c r="I642" s="1" t="s">
        <v>33</v>
      </c>
      <c r="J642" s="1" t="s">
        <v>34</v>
      </c>
      <c r="K642" s="1" t="s">
        <v>18</v>
      </c>
      <c r="L642" s="5" t="s">
        <v>58</v>
      </c>
      <c r="M642" s="1" t="s">
        <v>41</v>
      </c>
      <c r="N642" s="1" t="str">
        <f>YEAR(sales_data[[#This Row],[Date]]) &amp; "-" &amp; TEXT(MONTH(sales_data[[#This Row],[Date]]), "00")</f>
        <v>2024-02</v>
      </c>
      <c r="O642" s="1">
        <f xml:space="preserve"> (sales_data[[#This Row],[Sales]]* (100 - sales_data[[#This Row],[Discount]]))/100</f>
        <v>15134.6552955922</v>
      </c>
    </row>
    <row r="643" spans="1:15" x14ac:dyDescent="0.5">
      <c r="A643" s="1" t="s">
        <v>741</v>
      </c>
      <c r="B643" s="1" t="s">
        <v>14</v>
      </c>
      <c r="C643">
        <v>18391.824743912999</v>
      </c>
      <c r="D643">
        <v>5</v>
      </c>
      <c r="E643" s="2">
        <v>45335</v>
      </c>
      <c r="F643" s="1">
        <v>197</v>
      </c>
      <c r="G643" s="1">
        <v>70</v>
      </c>
      <c r="H643" s="1" t="s">
        <v>15</v>
      </c>
      <c r="I643" s="1" t="s">
        <v>33</v>
      </c>
      <c r="J643" s="1" t="s">
        <v>17</v>
      </c>
      <c r="K643" s="1" t="s">
        <v>35</v>
      </c>
      <c r="L643" s="5" t="s">
        <v>58</v>
      </c>
      <c r="M643" s="1" t="s">
        <v>48</v>
      </c>
      <c r="N643" s="1" t="str">
        <f>YEAR(sales_data[[#This Row],[Date]]) &amp; "-" &amp; TEXT(MONTH(sales_data[[#This Row],[Date]]), "00")</f>
        <v>2024-02</v>
      </c>
      <c r="O643" s="1">
        <f xml:space="preserve"> (sales_data[[#This Row],[Sales]]* (100 - sales_data[[#This Row],[Discount]]))/100</f>
        <v>17472.233506717348</v>
      </c>
    </row>
    <row r="644" spans="1:15" x14ac:dyDescent="0.5">
      <c r="A644" s="1" t="s">
        <v>938</v>
      </c>
      <c r="B644" s="1" t="s">
        <v>29</v>
      </c>
      <c r="C644">
        <v>18454.4176789874</v>
      </c>
      <c r="D644">
        <v>0</v>
      </c>
      <c r="E644" s="2">
        <v>45335</v>
      </c>
      <c r="F644" s="1">
        <v>109</v>
      </c>
      <c r="G644" s="1">
        <v>59</v>
      </c>
      <c r="H644" s="1" t="s">
        <v>15</v>
      </c>
      <c r="I644" s="1" t="s">
        <v>23</v>
      </c>
      <c r="J644" s="1" t="s">
        <v>17</v>
      </c>
      <c r="K644" s="1" t="s">
        <v>18</v>
      </c>
      <c r="L644" s="5" t="s">
        <v>30</v>
      </c>
      <c r="M644" s="1" t="s">
        <v>55</v>
      </c>
      <c r="N644" s="1" t="str">
        <f>YEAR(sales_data[[#This Row],[Date]]) &amp; "-" &amp; TEXT(MONTH(sales_data[[#This Row],[Date]]), "00")</f>
        <v>2024-02</v>
      </c>
      <c r="O644" s="1">
        <f xml:space="preserve"> (sales_data[[#This Row],[Sales]]* (100 - sales_data[[#This Row],[Discount]]))/100</f>
        <v>18454.4176789874</v>
      </c>
    </row>
    <row r="645" spans="1:15" x14ac:dyDescent="0.5">
      <c r="A645" s="1" t="s">
        <v>1002</v>
      </c>
      <c r="B645" s="1" t="s">
        <v>29</v>
      </c>
      <c r="C645">
        <v>25953.2313739317</v>
      </c>
      <c r="D645">
        <v>5</v>
      </c>
      <c r="E645" s="2">
        <v>45335</v>
      </c>
      <c r="F645" s="1">
        <v>122</v>
      </c>
      <c r="G645" s="1">
        <v>36</v>
      </c>
      <c r="H645" s="1" t="s">
        <v>15</v>
      </c>
      <c r="I645" s="1" t="s">
        <v>33</v>
      </c>
      <c r="J645" s="1" t="s">
        <v>34</v>
      </c>
      <c r="K645" s="1" t="s">
        <v>35</v>
      </c>
      <c r="L645" s="5" t="s">
        <v>30</v>
      </c>
      <c r="M645" s="1" t="s">
        <v>20</v>
      </c>
      <c r="N645" s="1" t="str">
        <f>YEAR(sales_data[[#This Row],[Date]]) &amp; "-" &amp; TEXT(MONTH(sales_data[[#This Row],[Date]]), "00")</f>
        <v>2024-02</v>
      </c>
      <c r="O645" s="1">
        <f xml:space="preserve"> (sales_data[[#This Row],[Sales]]* (100 - sales_data[[#This Row],[Discount]]))/100</f>
        <v>24655.569805235114</v>
      </c>
    </row>
    <row r="646" spans="1:15" x14ac:dyDescent="0.5">
      <c r="A646" s="1" t="s">
        <v>818</v>
      </c>
      <c r="B646" s="1" t="s">
        <v>22</v>
      </c>
      <c r="C646">
        <v>18375.843082456799</v>
      </c>
      <c r="D646">
        <v>10</v>
      </c>
      <c r="E646" s="2">
        <v>45336</v>
      </c>
      <c r="F646" s="1">
        <v>193</v>
      </c>
      <c r="G646" s="1">
        <v>69</v>
      </c>
      <c r="H646" s="1" t="s">
        <v>15</v>
      </c>
      <c r="I646" s="1" t="s">
        <v>23</v>
      </c>
      <c r="J646" s="1" t="s">
        <v>24</v>
      </c>
      <c r="K646" s="1" t="s">
        <v>18</v>
      </c>
      <c r="L646" s="5" t="s">
        <v>19</v>
      </c>
      <c r="M646" s="1" t="s">
        <v>55</v>
      </c>
      <c r="N646" s="1" t="str">
        <f>YEAR(sales_data[[#This Row],[Date]]) &amp; "-" &amp; TEXT(MONTH(sales_data[[#This Row],[Date]]), "00")</f>
        <v>2024-02</v>
      </c>
      <c r="O646" s="1">
        <f xml:space="preserve"> (sales_data[[#This Row],[Sales]]* (100 - sales_data[[#This Row],[Discount]]))/100</f>
        <v>16538.258774211117</v>
      </c>
    </row>
    <row r="647" spans="1:15" x14ac:dyDescent="0.5">
      <c r="A647" s="1" t="s">
        <v>682</v>
      </c>
      <c r="B647" s="1" t="s">
        <v>14</v>
      </c>
      <c r="C647">
        <v>30711.351793059301</v>
      </c>
      <c r="D647">
        <v>10</v>
      </c>
      <c r="E647" s="2">
        <v>45337</v>
      </c>
      <c r="F647" s="1">
        <v>123</v>
      </c>
      <c r="G647" s="1">
        <v>36</v>
      </c>
      <c r="H647" s="1" t="s">
        <v>15</v>
      </c>
      <c r="I647" s="1" t="s">
        <v>23</v>
      </c>
      <c r="J647" s="1" t="s">
        <v>17</v>
      </c>
      <c r="K647" s="1" t="s">
        <v>18</v>
      </c>
      <c r="L647" s="5" t="s">
        <v>30</v>
      </c>
      <c r="M647" s="1" t="s">
        <v>55</v>
      </c>
      <c r="N647" s="1" t="str">
        <f>YEAR(sales_data[[#This Row],[Date]]) &amp; "-" &amp; TEXT(MONTH(sales_data[[#This Row],[Date]]), "00")</f>
        <v>2024-02</v>
      </c>
      <c r="O647" s="1">
        <f xml:space="preserve"> (sales_data[[#This Row],[Sales]]* (100 - sales_data[[#This Row],[Discount]]))/100</f>
        <v>27640.216613753371</v>
      </c>
    </row>
    <row r="648" spans="1:15" x14ac:dyDescent="0.5">
      <c r="A648" s="1" t="s">
        <v>916</v>
      </c>
      <c r="B648" s="1" t="s">
        <v>22</v>
      </c>
      <c r="C648">
        <v>22095.0950468302</v>
      </c>
      <c r="D648">
        <v>0</v>
      </c>
      <c r="E648" s="2">
        <v>45337</v>
      </c>
      <c r="F648" s="1">
        <v>119</v>
      </c>
      <c r="G648" s="1">
        <v>54</v>
      </c>
      <c r="H648" s="1" t="s">
        <v>38</v>
      </c>
      <c r="I648" s="1" t="s">
        <v>33</v>
      </c>
      <c r="J648" s="1" t="s">
        <v>34</v>
      </c>
      <c r="K648" s="1" t="s">
        <v>25</v>
      </c>
      <c r="L648" s="5" t="s">
        <v>38</v>
      </c>
      <c r="M648" s="1" t="s">
        <v>44</v>
      </c>
      <c r="N648" s="1" t="str">
        <f>YEAR(sales_data[[#This Row],[Date]]) &amp; "-" &amp; TEXT(MONTH(sales_data[[#This Row],[Date]]), "00")</f>
        <v>2024-02</v>
      </c>
      <c r="O648" s="1">
        <f xml:space="preserve"> (sales_data[[#This Row],[Sales]]* (100 - sales_data[[#This Row],[Discount]]))/100</f>
        <v>22095.0950468302</v>
      </c>
    </row>
    <row r="649" spans="1:15" x14ac:dyDescent="0.5">
      <c r="A649" s="1" t="s">
        <v>165</v>
      </c>
      <c r="B649" s="1" t="s">
        <v>22</v>
      </c>
      <c r="C649">
        <v>17038.030378805601</v>
      </c>
      <c r="D649">
        <v>5</v>
      </c>
      <c r="E649" s="2">
        <v>45338</v>
      </c>
      <c r="F649" s="1">
        <v>111</v>
      </c>
      <c r="G649" s="1">
        <v>80</v>
      </c>
      <c r="H649" s="1" t="s">
        <v>15</v>
      </c>
      <c r="I649" s="1" t="s">
        <v>16</v>
      </c>
      <c r="J649" s="1" t="s">
        <v>17</v>
      </c>
      <c r="K649" s="1" t="s">
        <v>35</v>
      </c>
      <c r="L649" s="5" t="s">
        <v>54</v>
      </c>
      <c r="M649" s="1" t="s">
        <v>48</v>
      </c>
      <c r="N649" s="1" t="str">
        <f>YEAR(sales_data[[#This Row],[Date]]) &amp; "-" &amp; TEXT(MONTH(sales_data[[#This Row],[Date]]), "00")</f>
        <v>2024-02</v>
      </c>
      <c r="O649" s="1">
        <f xml:space="preserve"> (sales_data[[#This Row],[Sales]]* (100 - sales_data[[#This Row],[Discount]]))/100</f>
        <v>16186.128859865321</v>
      </c>
    </row>
    <row r="650" spans="1:15" x14ac:dyDescent="0.5">
      <c r="A650" s="1" t="s">
        <v>155</v>
      </c>
      <c r="B650" s="1" t="s">
        <v>22</v>
      </c>
      <c r="C650">
        <v>14813.769228367701</v>
      </c>
      <c r="D650">
        <v>15</v>
      </c>
      <c r="E650" s="2">
        <v>45339</v>
      </c>
      <c r="F650" s="1">
        <v>101</v>
      </c>
      <c r="G650" s="1">
        <v>57</v>
      </c>
      <c r="H650" s="1" t="s">
        <v>15</v>
      </c>
      <c r="I650" s="1" t="s">
        <v>16</v>
      </c>
      <c r="J650" s="1" t="s">
        <v>17</v>
      </c>
      <c r="K650" s="1" t="s">
        <v>35</v>
      </c>
      <c r="L650" s="5" t="s">
        <v>58</v>
      </c>
      <c r="M650" s="1" t="s">
        <v>20</v>
      </c>
      <c r="N650" s="1" t="str">
        <f>YEAR(sales_data[[#This Row],[Date]]) &amp; "-" &amp; TEXT(MONTH(sales_data[[#This Row],[Date]]), "00")</f>
        <v>2024-02</v>
      </c>
      <c r="O650" s="1">
        <f xml:space="preserve"> (sales_data[[#This Row],[Sales]]* (100 - sales_data[[#This Row],[Discount]]))/100</f>
        <v>12591.703844112546</v>
      </c>
    </row>
    <row r="651" spans="1:15" x14ac:dyDescent="0.5">
      <c r="A651" s="1" t="s">
        <v>924</v>
      </c>
      <c r="B651" s="1" t="s">
        <v>29</v>
      </c>
      <c r="C651">
        <v>12931.427515475099</v>
      </c>
      <c r="D651">
        <v>0</v>
      </c>
      <c r="E651" s="2">
        <v>45339</v>
      </c>
      <c r="F651" s="1">
        <v>117</v>
      </c>
      <c r="G651" s="1">
        <v>8</v>
      </c>
      <c r="H651" s="1" t="s">
        <v>15</v>
      </c>
      <c r="I651" s="1" t="s">
        <v>16</v>
      </c>
      <c r="J651" s="1" t="s">
        <v>24</v>
      </c>
      <c r="K651" s="1" t="s">
        <v>25</v>
      </c>
      <c r="L651" s="5" t="s">
        <v>38</v>
      </c>
      <c r="M651" s="1" t="s">
        <v>20</v>
      </c>
      <c r="N651" s="1" t="str">
        <f>YEAR(sales_data[[#This Row],[Date]]) &amp; "-" &amp; TEXT(MONTH(sales_data[[#This Row],[Date]]), "00")</f>
        <v>2024-02</v>
      </c>
      <c r="O651" s="1">
        <f xml:space="preserve"> (sales_data[[#This Row],[Sales]]* (100 - sales_data[[#This Row],[Discount]]))/100</f>
        <v>12931.427515475101</v>
      </c>
    </row>
    <row r="652" spans="1:15" x14ac:dyDescent="0.5">
      <c r="A652" s="1" t="s">
        <v>93</v>
      </c>
      <c r="B652" s="1" t="s">
        <v>50</v>
      </c>
      <c r="C652">
        <v>27511.785260480101</v>
      </c>
      <c r="D652">
        <v>10</v>
      </c>
      <c r="E652" s="2">
        <v>45340</v>
      </c>
      <c r="F652" s="1">
        <v>144</v>
      </c>
      <c r="G652" s="1">
        <v>70</v>
      </c>
      <c r="H652" s="1" t="s">
        <v>15</v>
      </c>
      <c r="I652" s="1" t="s">
        <v>16</v>
      </c>
      <c r="J652" s="1" t="s">
        <v>34</v>
      </c>
      <c r="K652" s="1" t="s">
        <v>18</v>
      </c>
      <c r="L652" s="5" t="s">
        <v>19</v>
      </c>
      <c r="M652" s="1" t="s">
        <v>55</v>
      </c>
      <c r="N652" s="1" t="str">
        <f>YEAR(sales_data[[#This Row],[Date]]) &amp; "-" &amp; TEXT(MONTH(sales_data[[#This Row],[Date]]), "00")</f>
        <v>2024-02</v>
      </c>
      <c r="O652" s="1">
        <f xml:space="preserve"> (sales_data[[#This Row],[Sales]]* (100 - sales_data[[#This Row],[Discount]]))/100</f>
        <v>24760.606734432091</v>
      </c>
    </row>
    <row r="653" spans="1:15" x14ac:dyDescent="0.5">
      <c r="A653" s="1" t="s">
        <v>738</v>
      </c>
      <c r="B653" s="1" t="s">
        <v>22</v>
      </c>
      <c r="C653">
        <v>24251.108710567401</v>
      </c>
      <c r="D653">
        <v>15</v>
      </c>
      <c r="E653" s="2">
        <v>45340</v>
      </c>
      <c r="F653" s="1">
        <v>128</v>
      </c>
      <c r="G653" s="1">
        <v>4</v>
      </c>
      <c r="H653" s="1" t="s">
        <v>15</v>
      </c>
      <c r="I653" s="1" t="s">
        <v>33</v>
      </c>
      <c r="J653" s="1" t="s">
        <v>17</v>
      </c>
      <c r="K653" s="1" t="s">
        <v>25</v>
      </c>
      <c r="L653" s="5" t="s">
        <v>54</v>
      </c>
      <c r="M653" s="1" t="s">
        <v>41</v>
      </c>
      <c r="N653" s="1" t="str">
        <f>YEAR(sales_data[[#This Row],[Date]]) &amp; "-" &amp; TEXT(MONTH(sales_data[[#This Row],[Date]]), "00")</f>
        <v>2024-02</v>
      </c>
      <c r="O653" s="1">
        <f xml:space="preserve"> (sales_data[[#This Row],[Sales]]* (100 - sales_data[[#This Row],[Discount]]))/100</f>
        <v>20613.442403982292</v>
      </c>
    </row>
    <row r="654" spans="1:15" x14ac:dyDescent="0.5">
      <c r="A654" s="1" t="s">
        <v>893</v>
      </c>
      <c r="B654" s="1" t="s">
        <v>14</v>
      </c>
      <c r="C654">
        <v>15981.6271601513</v>
      </c>
      <c r="D654">
        <v>10</v>
      </c>
      <c r="E654" s="2">
        <v>45340</v>
      </c>
      <c r="F654" s="1">
        <v>154</v>
      </c>
      <c r="G654" s="1">
        <v>20</v>
      </c>
      <c r="H654" s="1" t="s">
        <v>15</v>
      </c>
      <c r="I654" s="1" t="s">
        <v>33</v>
      </c>
      <c r="J654" s="1" t="s">
        <v>24</v>
      </c>
      <c r="K654" s="1" t="s">
        <v>35</v>
      </c>
      <c r="L654" s="5" t="s">
        <v>38</v>
      </c>
      <c r="M654" s="1" t="s">
        <v>55</v>
      </c>
      <c r="N654" s="1" t="str">
        <f>YEAR(sales_data[[#This Row],[Date]]) &amp; "-" &amp; TEXT(MONTH(sales_data[[#This Row],[Date]]), "00")</f>
        <v>2024-02</v>
      </c>
      <c r="O654" s="1">
        <f xml:space="preserve"> (sales_data[[#This Row],[Sales]]* (100 - sales_data[[#This Row],[Discount]]))/100</f>
        <v>14383.464444136171</v>
      </c>
    </row>
    <row r="655" spans="1:15" x14ac:dyDescent="0.5">
      <c r="A655" s="1" t="s">
        <v>105</v>
      </c>
      <c r="B655" s="1" t="s">
        <v>14</v>
      </c>
      <c r="C655">
        <v>21832.9912304842</v>
      </c>
      <c r="D655">
        <v>15</v>
      </c>
      <c r="E655" s="2">
        <v>45341</v>
      </c>
      <c r="F655" s="1">
        <v>189</v>
      </c>
      <c r="G655" s="1">
        <v>65</v>
      </c>
      <c r="H655" s="1" t="s">
        <v>15</v>
      </c>
      <c r="I655" s="1" t="s">
        <v>16</v>
      </c>
      <c r="J655" s="1" t="s">
        <v>24</v>
      </c>
      <c r="K655" s="1" t="s">
        <v>35</v>
      </c>
      <c r="L655" s="5" t="s">
        <v>36</v>
      </c>
      <c r="M655" s="1" t="s">
        <v>44</v>
      </c>
      <c r="N655" s="1" t="str">
        <f>YEAR(sales_data[[#This Row],[Date]]) &amp; "-" &amp; TEXT(MONTH(sales_data[[#This Row],[Date]]), "00")</f>
        <v>2024-02</v>
      </c>
      <c r="O655" s="1">
        <f xml:space="preserve"> (sales_data[[#This Row],[Sales]]* (100 - sales_data[[#This Row],[Discount]]))/100</f>
        <v>18558.042545911569</v>
      </c>
    </row>
    <row r="656" spans="1:15" x14ac:dyDescent="0.5">
      <c r="A656" s="1" t="s">
        <v>839</v>
      </c>
      <c r="B656" s="1" t="s">
        <v>29</v>
      </c>
      <c r="C656">
        <v>20899.470755767299</v>
      </c>
      <c r="D656">
        <v>5</v>
      </c>
      <c r="E656" s="2">
        <v>45342</v>
      </c>
      <c r="F656" s="1">
        <v>155</v>
      </c>
      <c r="G656" s="1">
        <v>98</v>
      </c>
      <c r="H656" s="1" t="s">
        <v>15</v>
      </c>
      <c r="I656" s="1" t="s">
        <v>33</v>
      </c>
      <c r="J656" s="1" t="s">
        <v>24</v>
      </c>
      <c r="K656" s="1" t="s">
        <v>25</v>
      </c>
      <c r="L656" s="5" t="s">
        <v>36</v>
      </c>
      <c r="M656" s="1" t="s">
        <v>48</v>
      </c>
      <c r="N656" s="1" t="str">
        <f>YEAR(sales_data[[#This Row],[Date]]) &amp; "-" &amp; TEXT(MONTH(sales_data[[#This Row],[Date]]), "00")</f>
        <v>2024-02</v>
      </c>
      <c r="O656" s="1">
        <f xml:space="preserve"> (sales_data[[#This Row],[Sales]]* (100 - sales_data[[#This Row],[Discount]]))/100</f>
        <v>19854.497217978937</v>
      </c>
    </row>
    <row r="657" spans="1:15" x14ac:dyDescent="0.5">
      <c r="A657" s="1" t="s">
        <v>1012</v>
      </c>
      <c r="B657" s="1" t="s">
        <v>50</v>
      </c>
      <c r="C657">
        <v>23795.775801513199</v>
      </c>
      <c r="D657">
        <v>0</v>
      </c>
      <c r="E657" s="2">
        <v>45342</v>
      </c>
      <c r="F657" s="1">
        <v>156</v>
      </c>
      <c r="G657" s="1">
        <v>22</v>
      </c>
      <c r="H657" s="1" t="s">
        <v>15</v>
      </c>
      <c r="I657" s="1" t="s">
        <v>23</v>
      </c>
      <c r="J657" s="1" t="s">
        <v>24</v>
      </c>
      <c r="K657" s="1" t="s">
        <v>18</v>
      </c>
      <c r="L657" s="5" t="s">
        <v>36</v>
      </c>
      <c r="M657" s="1" t="s">
        <v>44</v>
      </c>
      <c r="N657" s="1" t="str">
        <f>YEAR(sales_data[[#This Row],[Date]]) &amp; "-" &amp; TEXT(MONTH(sales_data[[#This Row],[Date]]), "00")</f>
        <v>2024-02</v>
      </c>
      <c r="O657" s="1">
        <f xml:space="preserve"> (sales_data[[#This Row],[Sales]]* (100 - sales_data[[#This Row],[Discount]]))/100</f>
        <v>23795.775801513199</v>
      </c>
    </row>
    <row r="658" spans="1:15" x14ac:dyDescent="0.5">
      <c r="A658" s="1" t="s">
        <v>520</v>
      </c>
      <c r="B658" s="1" t="s">
        <v>22</v>
      </c>
      <c r="C658">
        <v>12421.279425013799</v>
      </c>
      <c r="D658">
        <v>10</v>
      </c>
      <c r="E658" s="2">
        <v>45343</v>
      </c>
      <c r="F658" s="1">
        <v>162</v>
      </c>
      <c r="G658" s="1">
        <v>24</v>
      </c>
      <c r="H658" s="1" t="s">
        <v>15</v>
      </c>
      <c r="I658" s="1" t="s">
        <v>23</v>
      </c>
      <c r="J658" s="1" t="s">
        <v>17</v>
      </c>
      <c r="K658" s="1" t="s">
        <v>25</v>
      </c>
      <c r="L658" s="5" t="s">
        <v>43</v>
      </c>
      <c r="M658" s="1" t="s">
        <v>55</v>
      </c>
      <c r="N658" s="1" t="str">
        <f>YEAR(sales_data[[#This Row],[Date]]) &amp; "-" &amp; TEXT(MONTH(sales_data[[#This Row],[Date]]), "00")</f>
        <v>2024-02</v>
      </c>
      <c r="O658" s="1">
        <f xml:space="preserve"> (sales_data[[#This Row],[Sales]]* (100 - sales_data[[#This Row],[Discount]]))/100</f>
        <v>11179.15148251242</v>
      </c>
    </row>
    <row r="659" spans="1:15" x14ac:dyDescent="0.5">
      <c r="A659" s="1" t="s">
        <v>1037</v>
      </c>
      <c r="B659" s="1" t="s">
        <v>50</v>
      </c>
      <c r="C659">
        <v>16971.922301315601</v>
      </c>
      <c r="D659">
        <v>0</v>
      </c>
      <c r="E659" s="2">
        <v>45344</v>
      </c>
      <c r="F659" s="1">
        <v>124</v>
      </c>
      <c r="G659" s="1">
        <v>56</v>
      </c>
      <c r="H659" s="1" t="s">
        <v>38</v>
      </c>
      <c r="I659" s="1" t="s">
        <v>16</v>
      </c>
      <c r="J659" s="1" t="s">
        <v>34</v>
      </c>
      <c r="K659" s="1" t="s">
        <v>18</v>
      </c>
      <c r="L659" s="5" t="s">
        <v>38</v>
      </c>
      <c r="M659" s="1" t="s">
        <v>55</v>
      </c>
      <c r="N659" s="1" t="str">
        <f>YEAR(sales_data[[#This Row],[Date]]) &amp; "-" &amp; TEXT(MONTH(sales_data[[#This Row],[Date]]), "00")</f>
        <v>2024-02</v>
      </c>
      <c r="O659" s="1">
        <f xml:space="preserve"> (sales_data[[#This Row],[Sales]]* (100 - sales_data[[#This Row],[Discount]]))/100</f>
        <v>16971.922301315601</v>
      </c>
    </row>
    <row r="660" spans="1:15" x14ac:dyDescent="0.5">
      <c r="A660" s="1" t="s">
        <v>449</v>
      </c>
      <c r="B660" s="1" t="s">
        <v>22</v>
      </c>
      <c r="C660">
        <v>22148.091095662901</v>
      </c>
      <c r="D660">
        <v>5</v>
      </c>
      <c r="E660" s="2">
        <v>45348</v>
      </c>
      <c r="F660" s="1">
        <v>174</v>
      </c>
      <c r="G660" s="1">
        <v>21</v>
      </c>
      <c r="H660" s="1" t="s">
        <v>15</v>
      </c>
      <c r="I660" s="1" t="s">
        <v>23</v>
      </c>
      <c r="J660" s="1" t="s">
        <v>24</v>
      </c>
      <c r="K660" s="1" t="s">
        <v>35</v>
      </c>
      <c r="L660" s="5" t="s">
        <v>26</v>
      </c>
      <c r="M660" s="1" t="s">
        <v>48</v>
      </c>
      <c r="N660" s="1" t="str">
        <f>YEAR(sales_data[[#This Row],[Date]]) &amp; "-" &amp; TEXT(MONTH(sales_data[[#This Row],[Date]]), "00")</f>
        <v>2024-02</v>
      </c>
      <c r="O660" s="1">
        <f xml:space="preserve"> (sales_data[[#This Row],[Sales]]* (100 - sales_data[[#This Row],[Discount]]))/100</f>
        <v>21040.686540879757</v>
      </c>
    </row>
    <row r="661" spans="1:15" x14ac:dyDescent="0.5">
      <c r="A661" s="1" t="s">
        <v>515</v>
      </c>
      <c r="B661" s="1" t="s">
        <v>29</v>
      </c>
      <c r="C661">
        <v>15838.222134478799</v>
      </c>
      <c r="D661">
        <v>15</v>
      </c>
      <c r="E661" s="2">
        <v>45348</v>
      </c>
      <c r="F661" s="1">
        <v>152</v>
      </c>
      <c r="G661" s="1">
        <v>39</v>
      </c>
      <c r="H661" s="1" t="s">
        <v>15</v>
      </c>
      <c r="I661" s="1" t="s">
        <v>33</v>
      </c>
      <c r="J661" s="1" t="s">
        <v>17</v>
      </c>
      <c r="K661" s="1" t="s">
        <v>18</v>
      </c>
      <c r="L661" s="5" t="s">
        <v>54</v>
      </c>
      <c r="M661" s="1" t="s">
        <v>55</v>
      </c>
      <c r="N661" s="1" t="str">
        <f>YEAR(sales_data[[#This Row],[Date]]) &amp; "-" &amp; TEXT(MONTH(sales_data[[#This Row],[Date]]), "00")</f>
        <v>2024-02</v>
      </c>
      <c r="O661" s="1">
        <f xml:space="preserve"> (sales_data[[#This Row],[Sales]]* (100 - sales_data[[#This Row],[Discount]]))/100</f>
        <v>13462.488814306978</v>
      </c>
    </row>
    <row r="662" spans="1:15" x14ac:dyDescent="0.5">
      <c r="A662" s="1" t="s">
        <v>13</v>
      </c>
      <c r="B662" s="1" t="s">
        <v>14</v>
      </c>
      <c r="C662">
        <v>21708.7798788857</v>
      </c>
      <c r="D662">
        <v>0</v>
      </c>
      <c r="E662" s="2">
        <v>45349</v>
      </c>
      <c r="F662" s="1">
        <v>164</v>
      </c>
      <c r="G662" s="1">
        <v>16</v>
      </c>
      <c r="H662" s="1" t="s">
        <v>15</v>
      </c>
      <c r="I662" s="1" t="s">
        <v>16</v>
      </c>
      <c r="J662" s="1" t="s">
        <v>17</v>
      </c>
      <c r="K662" s="1" t="s">
        <v>18</v>
      </c>
      <c r="L662" s="5" t="s">
        <v>19</v>
      </c>
      <c r="M662" s="1" t="s">
        <v>20</v>
      </c>
      <c r="N662" s="1" t="str">
        <f>YEAR(sales_data[[#This Row],[Date]]) &amp; "-" &amp; TEXT(MONTH(sales_data[[#This Row],[Date]]), "00")</f>
        <v>2024-02</v>
      </c>
      <c r="O662" s="1">
        <f xml:space="preserve"> (sales_data[[#This Row],[Sales]]* (100 - sales_data[[#This Row],[Discount]]))/100</f>
        <v>21708.7798788857</v>
      </c>
    </row>
    <row r="663" spans="1:15" x14ac:dyDescent="0.5">
      <c r="A663" s="1" t="s">
        <v>126</v>
      </c>
      <c r="B663" s="1" t="s">
        <v>22</v>
      </c>
      <c r="C663">
        <v>23787.538550236499</v>
      </c>
      <c r="D663">
        <v>15</v>
      </c>
      <c r="E663" s="2">
        <v>45349</v>
      </c>
      <c r="F663" s="1">
        <v>181</v>
      </c>
      <c r="G663" s="1">
        <v>29</v>
      </c>
      <c r="H663" s="1" t="s">
        <v>15</v>
      </c>
      <c r="I663" s="1" t="s">
        <v>23</v>
      </c>
      <c r="J663" s="1" t="s">
        <v>24</v>
      </c>
      <c r="K663" s="1" t="s">
        <v>35</v>
      </c>
      <c r="L663" s="5" t="s">
        <v>85</v>
      </c>
      <c r="M663" s="1" t="s">
        <v>41</v>
      </c>
      <c r="N663" s="1" t="str">
        <f>YEAR(sales_data[[#This Row],[Date]]) &amp; "-" &amp; TEXT(MONTH(sales_data[[#This Row],[Date]]), "00")</f>
        <v>2024-02</v>
      </c>
      <c r="O663" s="1">
        <f xml:space="preserve"> (sales_data[[#This Row],[Sales]]* (100 - sales_data[[#This Row],[Discount]]))/100</f>
        <v>20219.407767701025</v>
      </c>
    </row>
    <row r="664" spans="1:15" x14ac:dyDescent="0.5">
      <c r="A664" s="1" t="s">
        <v>473</v>
      </c>
      <c r="B664" s="1" t="s">
        <v>29</v>
      </c>
      <c r="C664">
        <v>25159.222697343099</v>
      </c>
      <c r="D664">
        <v>0</v>
      </c>
      <c r="E664" s="2">
        <v>45349</v>
      </c>
      <c r="F664" s="1">
        <v>155</v>
      </c>
      <c r="G664" s="1">
        <v>22</v>
      </c>
      <c r="H664" s="1" t="s">
        <v>15</v>
      </c>
      <c r="I664" s="1" t="s">
        <v>16</v>
      </c>
      <c r="J664" s="1" t="s">
        <v>34</v>
      </c>
      <c r="K664" s="1" t="s">
        <v>35</v>
      </c>
      <c r="L664" s="5" t="s">
        <v>54</v>
      </c>
      <c r="M664" s="1" t="s">
        <v>55</v>
      </c>
      <c r="N664" s="1" t="str">
        <f>YEAR(sales_data[[#This Row],[Date]]) &amp; "-" &amp; TEXT(MONTH(sales_data[[#This Row],[Date]]), "00")</f>
        <v>2024-02</v>
      </c>
      <c r="O664" s="1">
        <f xml:space="preserve"> (sales_data[[#This Row],[Sales]]* (100 - sales_data[[#This Row],[Discount]]))/100</f>
        <v>25159.222697343099</v>
      </c>
    </row>
    <row r="665" spans="1:15" x14ac:dyDescent="0.5">
      <c r="A665" s="1" t="s">
        <v>52</v>
      </c>
      <c r="B665" s="1" t="s">
        <v>14</v>
      </c>
      <c r="C665">
        <v>26769.361870827001</v>
      </c>
      <c r="D665">
        <v>0</v>
      </c>
      <c r="E665" s="2">
        <v>45350</v>
      </c>
      <c r="F665" s="1">
        <v>112</v>
      </c>
      <c r="G665" s="1">
        <v>32</v>
      </c>
      <c r="H665" s="1" t="s">
        <v>15</v>
      </c>
      <c r="I665" s="1" t="s">
        <v>33</v>
      </c>
      <c r="J665" s="1" t="s">
        <v>17</v>
      </c>
      <c r="K665" s="1" t="s">
        <v>35</v>
      </c>
      <c r="L665" s="5" t="s">
        <v>30</v>
      </c>
      <c r="M665" s="1" t="s">
        <v>31</v>
      </c>
      <c r="N665" s="1" t="str">
        <f>YEAR(sales_data[[#This Row],[Date]]) &amp; "-" &amp; TEXT(MONTH(sales_data[[#This Row],[Date]]), "00")</f>
        <v>2024-02</v>
      </c>
      <c r="O665" s="1">
        <f xml:space="preserve"> (sales_data[[#This Row],[Sales]]* (100 - sales_data[[#This Row],[Discount]]))/100</f>
        <v>26769.361870827001</v>
      </c>
    </row>
    <row r="666" spans="1:15" x14ac:dyDescent="0.5">
      <c r="A666" s="1" t="s">
        <v>734</v>
      </c>
      <c r="B666" s="1" t="s">
        <v>50</v>
      </c>
      <c r="C666">
        <v>17531.217084193398</v>
      </c>
      <c r="D666">
        <v>0</v>
      </c>
      <c r="E666" s="2">
        <v>45350</v>
      </c>
      <c r="F666" s="1">
        <v>185</v>
      </c>
      <c r="G666" s="1">
        <v>74</v>
      </c>
      <c r="H666" s="1" t="s">
        <v>38</v>
      </c>
      <c r="I666" s="1" t="s">
        <v>33</v>
      </c>
      <c r="J666" s="1" t="s">
        <v>24</v>
      </c>
      <c r="K666" s="1" t="s">
        <v>18</v>
      </c>
      <c r="L666" s="5" t="s">
        <v>26</v>
      </c>
      <c r="M666" s="1" t="s">
        <v>44</v>
      </c>
      <c r="N666" s="1" t="str">
        <f>YEAR(sales_data[[#This Row],[Date]]) &amp; "-" &amp; TEXT(MONTH(sales_data[[#This Row],[Date]]), "00")</f>
        <v>2024-02</v>
      </c>
      <c r="O666" s="1">
        <f xml:space="preserve"> (sales_data[[#This Row],[Sales]]* (100 - sales_data[[#This Row],[Discount]]))/100</f>
        <v>17531.217084193398</v>
      </c>
    </row>
    <row r="667" spans="1:15" x14ac:dyDescent="0.5">
      <c r="A667" s="1" t="s">
        <v>944</v>
      </c>
      <c r="B667" s="1" t="s">
        <v>14</v>
      </c>
      <c r="C667">
        <v>13343.8352322111</v>
      </c>
      <c r="D667">
        <v>10</v>
      </c>
      <c r="E667" s="2">
        <v>45351</v>
      </c>
      <c r="F667" s="1">
        <v>116</v>
      </c>
      <c r="G667" s="1">
        <v>88</v>
      </c>
      <c r="H667" s="1" t="s">
        <v>15</v>
      </c>
      <c r="I667" s="1" t="s">
        <v>23</v>
      </c>
      <c r="J667" s="1" t="s">
        <v>34</v>
      </c>
      <c r="K667" s="1" t="s">
        <v>25</v>
      </c>
      <c r="L667" s="5" t="s">
        <v>30</v>
      </c>
      <c r="M667" s="1" t="s">
        <v>31</v>
      </c>
      <c r="N667" s="1" t="str">
        <f>YEAR(sales_data[[#This Row],[Date]]) &amp; "-" &amp; TEXT(MONTH(sales_data[[#This Row],[Date]]), "00")</f>
        <v>2024-02</v>
      </c>
      <c r="O667" s="1">
        <f xml:space="preserve"> (sales_data[[#This Row],[Sales]]* (100 - sales_data[[#This Row],[Discount]]))/100</f>
        <v>12009.451708989991</v>
      </c>
    </row>
    <row r="668" spans="1:15" x14ac:dyDescent="0.5">
      <c r="A668" s="1" t="s">
        <v>1010</v>
      </c>
      <c r="B668" s="1" t="s">
        <v>29</v>
      </c>
      <c r="C668">
        <v>10990.097812099901</v>
      </c>
      <c r="D668">
        <v>15</v>
      </c>
      <c r="E668" s="2">
        <v>45351</v>
      </c>
      <c r="F668" s="1">
        <v>153</v>
      </c>
      <c r="G668" s="1">
        <v>88</v>
      </c>
      <c r="H668" s="1" t="s">
        <v>15</v>
      </c>
      <c r="I668" s="1" t="s">
        <v>23</v>
      </c>
      <c r="J668" s="1" t="s">
        <v>34</v>
      </c>
      <c r="K668" s="1" t="s">
        <v>25</v>
      </c>
      <c r="L668" s="5" t="s">
        <v>19</v>
      </c>
      <c r="M668" s="1" t="s">
        <v>48</v>
      </c>
      <c r="N668" s="1" t="str">
        <f>YEAR(sales_data[[#This Row],[Date]]) &amp; "-" &amp; TEXT(MONTH(sales_data[[#This Row],[Date]]), "00")</f>
        <v>2024-02</v>
      </c>
      <c r="O668" s="1">
        <f xml:space="preserve"> (sales_data[[#This Row],[Sales]]* (100 - sales_data[[#This Row],[Discount]]))/100</f>
        <v>9341.5831402849162</v>
      </c>
    </row>
    <row r="669" spans="1:15" x14ac:dyDescent="0.5">
      <c r="A669" s="1" t="s">
        <v>182</v>
      </c>
      <c r="B669" s="1" t="s">
        <v>29</v>
      </c>
      <c r="C669">
        <v>22852.993342965699</v>
      </c>
      <c r="D669">
        <v>15</v>
      </c>
      <c r="E669" s="2">
        <v>45352</v>
      </c>
      <c r="F669" s="1">
        <v>153</v>
      </c>
      <c r="G669" s="1">
        <v>59</v>
      </c>
      <c r="H669" s="1" t="s">
        <v>38</v>
      </c>
      <c r="I669" s="1" t="s">
        <v>23</v>
      </c>
      <c r="J669" s="1" t="s">
        <v>17</v>
      </c>
      <c r="K669" s="1" t="s">
        <v>25</v>
      </c>
      <c r="L669" s="5" t="s">
        <v>30</v>
      </c>
      <c r="M669" s="1" t="s">
        <v>48</v>
      </c>
      <c r="N669" s="1" t="str">
        <f>YEAR(sales_data[[#This Row],[Date]]) &amp; "-" &amp; TEXT(MONTH(sales_data[[#This Row],[Date]]), "00")</f>
        <v>2024-03</v>
      </c>
      <c r="O669" s="1">
        <f xml:space="preserve"> (sales_data[[#This Row],[Sales]]* (100 - sales_data[[#This Row],[Discount]]))/100</f>
        <v>19425.044341520843</v>
      </c>
    </row>
    <row r="670" spans="1:15" x14ac:dyDescent="0.5">
      <c r="A670" s="1" t="s">
        <v>389</v>
      </c>
      <c r="B670" s="1" t="s">
        <v>14</v>
      </c>
      <c r="C670">
        <v>20979.2262754884</v>
      </c>
      <c r="D670">
        <v>0</v>
      </c>
      <c r="E670" s="2">
        <v>45353</v>
      </c>
      <c r="F670" s="1">
        <v>112</v>
      </c>
      <c r="G670" s="1">
        <v>9</v>
      </c>
      <c r="H670" s="1" t="s">
        <v>15</v>
      </c>
      <c r="I670" s="1" t="s">
        <v>23</v>
      </c>
      <c r="J670" s="1" t="s">
        <v>34</v>
      </c>
      <c r="K670" s="1" t="s">
        <v>35</v>
      </c>
      <c r="L670" s="5" t="s">
        <v>43</v>
      </c>
      <c r="M670" s="1" t="s">
        <v>20</v>
      </c>
      <c r="N670" s="1" t="str">
        <f>YEAR(sales_data[[#This Row],[Date]]) &amp; "-" &amp; TEXT(MONTH(sales_data[[#This Row],[Date]]), "00")</f>
        <v>2024-03</v>
      </c>
      <c r="O670" s="1">
        <f xml:space="preserve"> (sales_data[[#This Row],[Sales]]* (100 - sales_data[[#This Row],[Discount]]))/100</f>
        <v>20979.2262754884</v>
      </c>
    </row>
    <row r="671" spans="1:15" x14ac:dyDescent="0.5">
      <c r="A671" s="1" t="s">
        <v>959</v>
      </c>
      <c r="B671" s="1" t="s">
        <v>22</v>
      </c>
      <c r="C671">
        <v>16659.5477317847</v>
      </c>
      <c r="D671">
        <v>0</v>
      </c>
      <c r="E671" s="2">
        <v>45353</v>
      </c>
      <c r="F671" s="1">
        <v>159</v>
      </c>
      <c r="G671" s="1">
        <v>12</v>
      </c>
      <c r="H671" s="1" t="s">
        <v>15</v>
      </c>
      <c r="I671" s="1" t="s">
        <v>16</v>
      </c>
      <c r="J671" s="1" t="s">
        <v>34</v>
      </c>
      <c r="K671" s="1" t="s">
        <v>18</v>
      </c>
      <c r="L671" s="5" t="s">
        <v>54</v>
      </c>
      <c r="M671" s="1" t="s">
        <v>44</v>
      </c>
      <c r="N671" s="1" t="str">
        <f>YEAR(sales_data[[#This Row],[Date]]) &amp; "-" &amp; TEXT(MONTH(sales_data[[#This Row],[Date]]), "00")</f>
        <v>2024-03</v>
      </c>
      <c r="O671" s="1">
        <f xml:space="preserve"> (sales_data[[#This Row],[Sales]]* (100 - sales_data[[#This Row],[Discount]]))/100</f>
        <v>16659.5477317847</v>
      </c>
    </row>
    <row r="672" spans="1:15" x14ac:dyDescent="0.5">
      <c r="A672" s="1" t="s">
        <v>713</v>
      </c>
      <c r="B672" s="1" t="s">
        <v>29</v>
      </c>
      <c r="C672">
        <v>17248.474230772899</v>
      </c>
      <c r="D672">
        <v>0</v>
      </c>
      <c r="E672" s="2">
        <v>45358</v>
      </c>
      <c r="F672" s="1">
        <v>157</v>
      </c>
      <c r="G672" s="1">
        <v>23</v>
      </c>
      <c r="H672" s="1" t="s">
        <v>15</v>
      </c>
      <c r="I672" s="1" t="s">
        <v>23</v>
      </c>
      <c r="J672" s="1" t="s">
        <v>17</v>
      </c>
      <c r="K672" s="1" t="s">
        <v>25</v>
      </c>
      <c r="L672" s="5" t="s">
        <v>19</v>
      </c>
      <c r="M672" s="1" t="s">
        <v>31</v>
      </c>
      <c r="N672" s="1" t="str">
        <f>YEAR(sales_data[[#This Row],[Date]]) &amp; "-" &amp; TEXT(MONTH(sales_data[[#This Row],[Date]]), "00")</f>
        <v>2024-03</v>
      </c>
      <c r="O672" s="1">
        <f xml:space="preserve"> (sales_data[[#This Row],[Sales]]* (100 - sales_data[[#This Row],[Discount]]))/100</f>
        <v>17248.474230772899</v>
      </c>
    </row>
    <row r="673" spans="1:15" x14ac:dyDescent="0.5">
      <c r="A673" s="1" t="s">
        <v>910</v>
      </c>
      <c r="B673" s="1" t="s">
        <v>29</v>
      </c>
      <c r="C673">
        <v>0</v>
      </c>
      <c r="D673">
        <v>0</v>
      </c>
      <c r="E673" s="2">
        <v>45358</v>
      </c>
      <c r="F673" s="1">
        <v>131</v>
      </c>
      <c r="G673" s="1">
        <v>77</v>
      </c>
      <c r="H673" s="1" t="s">
        <v>15</v>
      </c>
      <c r="I673" s="1" t="s">
        <v>33</v>
      </c>
      <c r="J673" s="1" t="s">
        <v>34</v>
      </c>
      <c r="K673" s="1" t="s">
        <v>35</v>
      </c>
      <c r="L673" s="5" t="s">
        <v>30</v>
      </c>
      <c r="M673" s="1" t="s">
        <v>20</v>
      </c>
      <c r="N673" s="1" t="str">
        <f>YEAR(sales_data[[#This Row],[Date]]) &amp; "-" &amp; TEXT(MONTH(sales_data[[#This Row],[Date]]), "00")</f>
        <v>2024-03</v>
      </c>
      <c r="O673" s="1">
        <f xml:space="preserve"> (sales_data[[#This Row],[Sales]]* (100 - sales_data[[#This Row],[Discount]]))/100</f>
        <v>0</v>
      </c>
    </row>
    <row r="674" spans="1:15" x14ac:dyDescent="0.5">
      <c r="A674" s="1" t="s">
        <v>95</v>
      </c>
      <c r="B674" s="1" t="s">
        <v>14</v>
      </c>
      <c r="C674">
        <v>28143.077727856398</v>
      </c>
      <c r="D674">
        <v>0</v>
      </c>
      <c r="E674" s="2">
        <v>45359</v>
      </c>
      <c r="F674" s="1">
        <v>139</v>
      </c>
      <c r="G674" s="1">
        <v>84</v>
      </c>
      <c r="H674" s="1" t="s">
        <v>15</v>
      </c>
      <c r="I674" s="1" t="s">
        <v>16</v>
      </c>
      <c r="J674" s="1" t="s">
        <v>17</v>
      </c>
      <c r="K674" s="1" t="s">
        <v>35</v>
      </c>
      <c r="L674" s="5" t="s">
        <v>19</v>
      </c>
      <c r="M674" s="1" t="s">
        <v>31</v>
      </c>
      <c r="N674" s="1" t="str">
        <f>YEAR(sales_data[[#This Row],[Date]]) &amp; "-" &amp; TEXT(MONTH(sales_data[[#This Row],[Date]]), "00")</f>
        <v>2024-03</v>
      </c>
      <c r="O674" s="1">
        <f xml:space="preserve"> (sales_data[[#This Row],[Sales]]* (100 - sales_data[[#This Row],[Discount]]))/100</f>
        <v>28143.077727856398</v>
      </c>
    </row>
    <row r="675" spans="1:15" x14ac:dyDescent="0.5">
      <c r="A675" s="1" t="s">
        <v>539</v>
      </c>
      <c r="B675" s="1" t="s">
        <v>29</v>
      </c>
      <c r="C675">
        <v>32634.662129368098</v>
      </c>
      <c r="D675">
        <v>5</v>
      </c>
      <c r="E675" s="2">
        <v>45359</v>
      </c>
      <c r="F675" s="1">
        <v>192</v>
      </c>
      <c r="G675" s="1">
        <v>93</v>
      </c>
      <c r="H675" s="1" t="s">
        <v>15</v>
      </c>
      <c r="I675" s="1" t="s">
        <v>33</v>
      </c>
      <c r="J675" s="1" t="s">
        <v>34</v>
      </c>
      <c r="K675" s="1" t="s">
        <v>35</v>
      </c>
      <c r="L675" s="5" t="s">
        <v>85</v>
      </c>
      <c r="M675" s="1" t="s">
        <v>27</v>
      </c>
      <c r="N675" s="1" t="str">
        <f>YEAR(sales_data[[#This Row],[Date]]) &amp; "-" &amp; TEXT(MONTH(sales_data[[#This Row],[Date]]), "00")</f>
        <v>2024-03</v>
      </c>
      <c r="O675" s="1">
        <f xml:space="preserve"> (sales_data[[#This Row],[Sales]]* (100 - sales_data[[#This Row],[Discount]]))/100</f>
        <v>31002.929022899694</v>
      </c>
    </row>
    <row r="676" spans="1:15" x14ac:dyDescent="0.5">
      <c r="A676" s="1" t="s">
        <v>324</v>
      </c>
      <c r="B676" s="1" t="s">
        <v>50</v>
      </c>
      <c r="C676">
        <v>20532.151138459401</v>
      </c>
      <c r="D676">
        <v>5</v>
      </c>
      <c r="E676" s="2">
        <v>45360</v>
      </c>
      <c r="F676" s="1">
        <v>118</v>
      </c>
      <c r="G676" s="1">
        <v>28</v>
      </c>
      <c r="H676" s="1" t="s">
        <v>38</v>
      </c>
      <c r="I676" s="1" t="s">
        <v>23</v>
      </c>
      <c r="J676" s="1" t="s">
        <v>17</v>
      </c>
      <c r="K676" s="1" t="s">
        <v>35</v>
      </c>
      <c r="L676" s="5" t="s">
        <v>54</v>
      </c>
      <c r="M676" s="1" t="s">
        <v>44</v>
      </c>
      <c r="N676" s="1" t="str">
        <f>YEAR(sales_data[[#This Row],[Date]]) &amp; "-" &amp; TEXT(MONTH(sales_data[[#This Row],[Date]]), "00")</f>
        <v>2024-03</v>
      </c>
      <c r="O676" s="1">
        <f xml:space="preserve"> (sales_data[[#This Row],[Sales]]* (100 - sales_data[[#This Row],[Discount]]))/100</f>
        <v>19505.543581536433</v>
      </c>
    </row>
    <row r="677" spans="1:15" x14ac:dyDescent="0.5">
      <c r="A677" s="1" t="s">
        <v>459</v>
      </c>
      <c r="B677" s="1" t="s">
        <v>14</v>
      </c>
      <c r="C677">
        <v>24691.4190298799</v>
      </c>
      <c r="D677">
        <v>0</v>
      </c>
      <c r="E677" s="2">
        <v>45360</v>
      </c>
      <c r="F677" s="1">
        <v>144</v>
      </c>
      <c r="G677" s="1">
        <v>96</v>
      </c>
      <c r="H677" s="1" t="s">
        <v>15</v>
      </c>
      <c r="I677" s="1" t="s">
        <v>16</v>
      </c>
      <c r="J677" s="1" t="s">
        <v>17</v>
      </c>
      <c r="K677" s="1" t="s">
        <v>25</v>
      </c>
      <c r="L677" s="5" t="s">
        <v>36</v>
      </c>
      <c r="M677" s="1" t="s">
        <v>41</v>
      </c>
      <c r="N677" s="1" t="str">
        <f>YEAR(sales_data[[#This Row],[Date]]) &amp; "-" &amp; TEXT(MONTH(sales_data[[#This Row],[Date]]), "00")</f>
        <v>2024-03</v>
      </c>
      <c r="O677" s="1">
        <f xml:space="preserve"> (sales_data[[#This Row],[Sales]]* (100 - sales_data[[#This Row],[Discount]]))/100</f>
        <v>24691.4190298799</v>
      </c>
    </row>
    <row r="678" spans="1:15" x14ac:dyDescent="0.5">
      <c r="A678" s="1" t="s">
        <v>504</v>
      </c>
      <c r="B678" s="1" t="s">
        <v>14</v>
      </c>
      <c r="C678">
        <v>22462.256320040698</v>
      </c>
      <c r="D678">
        <v>15</v>
      </c>
      <c r="E678" s="2">
        <v>45360</v>
      </c>
      <c r="F678" s="1">
        <v>173</v>
      </c>
      <c r="G678" s="1">
        <v>81</v>
      </c>
      <c r="H678" s="1" t="s">
        <v>15</v>
      </c>
      <c r="I678" s="1" t="s">
        <v>33</v>
      </c>
      <c r="J678" s="1" t="s">
        <v>34</v>
      </c>
      <c r="K678" s="1" t="s">
        <v>25</v>
      </c>
      <c r="L678" s="5" t="s">
        <v>54</v>
      </c>
      <c r="M678" s="1" t="s">
        <v>44</v>
      </c>
      <c r="N678" s="1" t="str">
        <f>YEAR(sales_data[[#This Row],[Date]]) &amp; "-" &amp; TEXT(MONTH(sales_data[[#This Row],[Date]]), "00")</f>
        <v>2024-03</v>
      </c>
      <c r="O678" s="1">
        <f xml:space="preserve"> (sales_data[[#This Row],[Sales]]* (100 - sales_data[[#This Row],[Discount]]))/100</f>
        <v>19092.917872034592</v>
      </c>
    </row>
    <row r="679" spans="1:15" x14ac:dyDescent="0.5">
      <c r="A679" s="1" t="s">
        <v>346</v>
      </c>
      <c r="B679" s="1" t="s">
        <v>29</v>
      </c>
      <c r="C679">
        <v>18125.895962252001</v>
      </c>
      <c r="D679">
        <v>0</v>
      </c>
      <c r="E679" s="2">
        <v>45362</v>
      </c>
      <c r="F679" s="1">
        <v>125</v>
      </c>
      <c r="G679" s="1">
        <v>97</v>
      </c>
      <c r="H679" s="1" t="s">
        <v>15</v>
      </c>
      <c r="I679" s="1" t="s">
        <v>33</v>
      </c>
      <c r="J679" s="1" t="s">
        <v>34</v>
      </c>
      <c r="K679" s="1" t="s">
        <v>35</v>
      </c>
      <c r="L679" s="5" t="s">
        <v>26</v>
      </c>
      <c r="M679" s="1" t="s">
        <v>55</v>
      </c>
      <c r="N679" s="1" t="str">
        <f>YEAR(sales_data[[#This Row],[Date]]) &amp; "-" &amp; TEXT(MONTH(sales_data[[#This Row],[Date]]), "00")</f>
        <v>2024-03</v>
      </c>
      <c r="O679" s="1">
        <f xml:space="preserve"> (sales_data[[#This Row],[Sales]]* (100 - sales_data[[#This Row],[Discount]]))/100</f>
        <v>18125.895962252001</v>
      </c>
    </row>
    <row r="680" spans="1:15" x14ac:dyDescent="0.5">
      <c r="A680" s="1" t="s">
        <v>788</v>
      </c>
      <c r="B680" s="1" t="s">
        <v>29</v>
      </c>
      <c r="C680">
        <v>21643.812051517401</v>
      </c>
      <c r="D680">
        <v>15</v>
      </c>
      <c r="E680" s="2">
        <v>45362</v>
      </c>
      <c r="F680" s="1">
        <v>130</v>
      </c>
      <c r="G680" s="1">
        <v>67</v>
      </c>
      <c r="H680" s="1" t="s">
        <v>15</v>
      </c>
      <c r="I680" s="1" t="s">
        <v>33</v>
      </c>
      <c r="J680" s="1" t="s">
        <v>17</v>
      </c>
      <c r="K680" s="1" t="s">
        <v>18</v>
      </c>
      <c r="L680" s="5" t="s">
        <v>19</v>
      </c>
      <c r="M680" s="1" t="s">
        <v>44</v>
      </c>
      <c r="N680" s="1" t="str">
        <f>YEAR(sales_data[[#This Row],[Date]]) &amp; "-" &amp; TEXT(MONTH(sales_data[[#This Row],[Date]]), "00")</f>
        <v>2024-03</v>
      </c>
      <c r="O680" s="1">
        <f xml:space="preserve"> (sales_data[[#This Row],[Sales]]* (100 - sales_data[[#This Row],[Discount]]))/100</f>
        <v>18397.240243789791</v>
      </c>
    </row>
    <row r="681" spans="1:15" x14ac:dyDescent="0.5">
      <c r="A681" s="1" t="s">
        <v>410</v>
      </c>
      <c r="B681" s="1" t="s">
        <v>14</v>
      </c>
      <c r="C681">
        <v>13241.576971918301</v>
      </c>
      <c r="D681">
        <v>15</v>
      </c>
      <c r="E681" s="2">
        <v>45363</v>
      </c>
      <c r="F681" s="1">
        <v>134</v>
      </c>
      <c r="G681" s="1">
        <v>77</v>
      </c>
      <c r="H681" s="1" t="s">
        <v>15</v>
      </c>
      <c r="I681" s="1" t="s">
        <v>23</v>
      </c>
      <c r="J681" s="1" t="s">
        <v>17</v>
      </c>
      <c r="K681" s="1" t="s">
        <v>35</v>
      </c>
      <c r="L681" s="5" t="s">
        <v>26</v>
      </c>
      <c r="M681" s="1" t="s">
        <v>48</v>
      </c>
      <c r="N681" s="1" t="str">
        <f>YEAR(sales_data[[#This Row],[Date]]) &amp; "-" &amp; TEXT(MONTH(sales_data[[#This Row],[Date]]), "00")</f>
        <v>2024-03</v>
      </c>
      <c r="O681" s="1">
        <f xml:space="preserve"> (sales_data[[#This Row],[Sales]]* (100 - sales_data[[#This Row],[Discount]]))/100</f>
        <v>11255.340426130555</v>
      </c>
    </row>
    <row r="682" spans="1:15" x14ac:dyDescent="0.5">
      <c r="A682" s="1" t="s">
        <v>470</v>
      </c>
      <c r="B682" s="1" t="s">
        <v>29</v>
      </c>
      <c r="C682">
        <v>0</v>
      </c>
      <c r="D682">
        <v>10</v>
      </c>
      <c r="E682" s="2">
        <v>45363</v>
      </c>
      <c r="F682" s="1">
        <v>165</v>
      </c>
      <c r="G682" s="1">
        <v>6</v>
      </c>
      <c r="H682" s="1" t="s">
        <v>15</v>
      </c>
      <c r="I682" s="1" t="s">
        <v>16</v>
      </c>
      <c r="J682" s="1" t="s">
        <v>24</v>
      </c>
      <c r="K682" s="1" t="s">
        <v>25</v>
      </c>
      <c r="L682" s="5" t="s">
        <v>26</v>
      </c>
      <c r="M682" s="1" t="s">
        <v>44</v>
      </c>
      <c r="N682" s="1" t="str">
        <f>YEAR(sales_data[[#This Row],[Date]]) &amp; "-" &amp; TEXT(MONTH(sales_data[[#This Row],[Date]]), "00")</f>
        <v>2024-03</v>
      </c>
      <c r="O682" s="1">
        <f xml:space="preserve"> (sales_data[[#This Row],[Sales]]* (100 - sales_data[[#This Row],[Discount]]))/100</f>
        <v>0</v>
      </c>
    </row>
    <row r="683" spans="1:15" x14ac:dyDescent="0.5">
      <c r="A683" s="1" t="s">
        <v>607</v>
      </c>
      <c r="B683" s="1" t="s">
        <v>14</v>
      </c>
      <c r="C683">
        <v>0</v>
      </c>
      <c r="D683">
        <v>15</v>
      </c>
      <c r="E683" s="2">
        <v>45363</v>
      </c>
      <c r="F683" s="1">
        <v>136</v>
      </c>
      <c r="G683" s="1">
        <v>57</v>
      </c>
      <c r="H683" s="1" t="s">
        <v>15</v>
      </c>
      <c r="I683" s="1" t="s">
        <v>23</v>
      </c>
      <c r="J683" s="1" t="s">
        <v>17</v>
      </c>
      <c r="K683" s="1" t="s">
        <v>25</v>
      </c>
      <c r="L683" s="5" t="s">
        <v>19</v>
      </c>
      <c r="M683" s="1" t="s">
        <v>48</v>
      </c>
      <c r="N683" s="1" t="str">
        <f>YEAR(sales_data[[#This Row],[Date]]) &amp; "-" &amp; TEXT(MONTH(sales_data[[#This Row],[Date]]), "00")</f>
        <v>2024-03</v>
      </c>
      <c r="O683" s="1">
        <f xml:space="preserve"> (sales_data[[#This Row],[Sales]]* (100 - sales_data[[#This Row],[Discount]]))/100</f>
        <v>0</v>
      </c>
    </row>
    <row r="684" spans="1:15" x14ac:dyDescent="0.5">
      <c r="A684" s="1" t="s">
        <v>69</v>
      </c>
      <c r="B684" s="1" t="s">
        <v>50</v>
      </c>
      <c r="C684">
        <v>14376.7895408106</v>
      </c>
      <c r="D684">
        <v>15</v>
      </c>
      <c r="E684" s="2">
        <v>45365</v>
      </c>
      <c r="F684" s="1">
        <v>161</v>
      </c>
      <c r="G684" s="1">
        <v>21</v>
      </c>
      <c r="H684" s="1" t="s">
        <v>15</v>
      </c>
      <c r="I684" s="1" t="s">
        <v>16</v>
      </c>
      <c r="J684" s="1" t="s">
        <v>34</v>
      </c>
      <c r="K684" s="1" t="s">
        <v>35</v>
      </c>
      <c r="L684" s="5" t="s">
        <v>43</v>
      </c>
      <c r="M684" s="1" t="s">
        <v>31</v>
      </c>
      <c r="N684" s="1" t="str">
        <f>YEAR(sales_data[[#This Row],[Date]]) &amp; "-" &amp; TEXT(MONTH(sales_data[[#This Row],[Date]]), "00")</f>
        <v>2024-03</v>
      </c>
      <c r="O684" s="1">
        <f xml:space="preserve"> (sales_data[[#This Row],[Sales]]* (100 - sales_data[[#This Row],[Discount]]))/100</f>
        <v>12220.271109689011</v>
      </c>
    </row>
    <row r="685" spans="1:15" x14ac:dyDescent="0.5">
      <c r="A685" s="1" t="s">
        <v>565</v>
      </c>
      <c r="B685" s="1" t="s">
        <v>22</v>
      </c>
      <c r="C685">
        <v>13200.7192951004</v>
      </c>
      <c r="D685">
        <v>5</v>
      </c>
      <c r="E685" s="2">
        <v>45365</v>
      </c>
      <c r="F685" s="1">
        <v>199</v>
      </c>
      <c r="G685" s="1">
        <v>25</v>
      </c>
      <c r="H685" s="1" t="s">
        <v>15</v>
      </c>
      <c r="I685" s="1" t="s">
        <v>33</v>
      </c>
      <c r="J685" s="1" t="s">
        <v>34</v>
      </c>
      <c r="K685" s="1" t="s">
        <v>18</v>
      </c>
      <c r="L685" s="5" t="s">
        <v>38</v>
      </c>
      <c r="M685" s="1" t="s">
        <v>44</v>
      </c>
      <c r="N685" s="1" t="str">
        <f>YEAR(sales_data[[#This Row],[Date]]) &amp; "-" &amp; TEXT(MONTH(sales_data[[#This Row],[Date]]), "00")</f>
        <v>2024-03</v>
      </c>
      <c r="O685" s="1">
        <f xml:space="preserve"> (sales_data[[#This Row],[Sales]]* (100 - sales_data[[#This Row],[Discount]]))/100</f>
        <v>12540.68333034538</v>
      </c>
    </row>
    <row r="686" spans="1:15" x14ac:dyDescent="0.5">
      <c r="A686" s="1" t="s">
        <v>574</v>
      </c>
      <c r="B686" s="1" t="s">
        <v>50</v>
      </c>
      <c r="C686">
        <v>21395.107628851601</v>
      </c>
      <c r="D686">
        <v>10</v>
      </c>
      <c r="E686" s="2">
        <v>45365</v>
      </c>
      <c r="F686" s="1">
        <v>175</v>
      </c>
      <c r="G686" s="1">
        <v>28</v>
      </c>
      <c r="H686" s="1" t="s">
        <v>15</v>
      </c>
      <c r="I686" s="1" t="s">
        <v>23</v>
      </c>
      <c r="J686" s="1" t="s">
        <v>34</v>
      </c>
      <c r="K686" s="1" t="s">
        <v>25</v>
      </c>
      <c r="L686" s="5" t="s">
        <v>54</v>
      </c>
      <c r="M686" s="1" t="s">
        <v>20</v>
      </c>
      <c r="N686" s="1" t="str">
        <f>YEAR(sales_data[[#This Row],[Date]]) &amp; "-" &amp; TEXT(MONTH(sales_data[[#This Row],[Date]]), "00")</f>
        <v>2024-03</v>
      </c>
      <c r="O686" s="1">
        <f xml:space="preserve"> (sales_data[[#This Row],[Sales]]* (100 - sales_data[[#This Row],[Discount]]))/100</f>
        <v>19255.59686596644</v>
      </c>
    </row>
    <row r="687" spans="1:15" x14ac:dyDescent="0.5">
      <c r="A687" s="1" t="s">
        <v>626</v>
      </c>
      <c r="B687" s="1" t="s">
        <v>29</v>
      </c>
      <c r="C687">
        <v>29004.702164554001</v>
      </c>
      <c r="D687">
        <v>5</v>
      </c>
      <c r="E687" s="2">
        <v>45365</v>
      </c>
      <c r="F687" s="1">
        <v>108</v>
      </c>
      <c r="G687" s="1">
        <v>54</v>
      </c>
      <c r="H687" s="1" t="s">
        <v>15</v>
      </c>
      <c r="I687" s="1" t="s">
        <v>16</v>
      </c>
      <c r="J687" s="1" t="s">
        <v>17</v>
      </c>
      <c r="K687" s="1" t="s">
        <v>35</v>
      </c>
      <c r="L687" s="5" t="s">
        <v>36</v>
      </c>
      <c r="M687" s="1" t="s">
        <v>27</v>
      </c>
      <c r="N687" s="1" t="str">
        <f>YEAR(sales_data[[#This Row],[Date]]) &amp; "-" &amp; TEXT(MONTH(sales_data[[#This Row],[Date]]), "00")</f>
        <v>2024-03</v>
      </c>
      <c r="O687" s="1">
        <f xml:space="preserve"> (sales_data[[#This Row],[Sales]]* (100 - sales_data[[#This Row],[Discount]]))/100</f>
        <v>27554.467056326303</v>
      </c>
    </row>
    <row r="688" spans="1:15" x14ac:dyDescent="0.5">
      <c r="A688" s="1" t="s">
        <v>671</v>
      </c>
      <c r="B688" s="1" t="s">
        <v>29</v>
      </c>
      <c r="C688">
        <v>30376.304363126299</v>
      </c>
      <c r="D688">
        <v>15</v>
      </c>
      <c r="E688" s="2">
        <v>45365</v>
      </c>
      <c r="F688" s="1">
        <v>185</v>
      </c>
      <c r="G688" s="1">
        <v>6</v>
      </c>
      <c r="H688" s="1" t="s">
        <v>15</v>
      </c>
      <c r="I688" s="1" t="s">
        <v>33</v>
      </c>
      <c r="J688" s="1" t="s">
        <v>34</v>
      </c>
      <c r="K688" s="1" t="s">
        <v>25</v>
      </c>
      <c r="L688" s="5" t="s">
        <v>85</v>
      </c>
      <c r="M688" s="1" t="s">
        <v>55</v>
      </c>
      <c r="N688" s="1" t="str">
        <f>YEAR(sales_data[[#This Row],[Date]]) &amp; "-" &amp; TEXT(MONTH(sales_data[[#This Row],[Date]]), "00")</f>
        <v>2024-03</v>
      </c>
      <c r="O688" s="1">
        <f xml:space="preserve"> (sales_data[[#This Row],[Sales]]* (100 - sales_data[[#This Row],[Discount]]))/100</f>
        <v>25819.858708657353</v>
      </c>
    </row>
    <row r="689" spans="1:15" x14ac:dyDescent="0.5">
      <c r="A689" s="1" t="s">
        <v>710</v>
      </c>
      <c r="B689" s="1" t="s">
        <v>29</v>
      </c>
      <c r="C689">
        <v>21979.017667186999</v>
      </c>
      <c r="D689">
        <v>15</v>
      </c>
      <c r="E689" s="2">
        <v>45367</v>
      </c>
      <c r="F689" s="1">
        <v>124</v>
      </c>
      <c r="G689" s="1">
        <v>50</v>
      </c>
      <c r="H689" s="1" t="s">
        <v>15</v>
      </c>
      <c r="I689" s="1" t="s">
        <v>23</v>
      </c>
      <c r="J689" s="1" t="s">
        <v>17</v>
      </c>
      <c r="K689" s="1" t="s">
        <v>18</v>
      </c>
      <c r="L689" s="5" t="s">
        <v>58</v>
      </c>
      <c r="M689" s="1" t="s">
        <v>20</v>
      </c>
      <c r="N689" s="1" t="str">
        <f>YEAR(sales_data[[#This Row],[Date]]) &amp; "-" &amp; TEXT(MONTH(sales_data[[#This Row],[Date]]), "00")</f>
        <v>2024-03</v>
      </c>
      <c r="O689" s="1">
        <f xml:space="preserve"> (sales_data[[#This Row],[Sales]]* (100 - sales_data[[#This Row],[Discount]]))/100</f>
        <v>18682.16501710895</v>
      </c>
    </row>
    <row r="690" spans="1:15" x14ac:dyDescent="0.5">
      <c r="A690" s="1" t="s">
        <v>850</v>
      </c>
      <c r="B690" s="1" t="s">
        <v>22</v>
      </c>
      <c r="C690">
        <v>13329.8725254089</v>
      </c>
      <c r="D690">
        <v>0</v>
      </c>
      <c r="E690" s="2">
        <v>45368</v>
      </c>
      <c r="F690" s="1">
        <v>154</v>
      </c>
      <c r="G690" s="1">
        <v>4</v>
      </c>
      <c r="H690" s="1" t="s">
        <v>15</v>
      </c>
      <c r="I690" s="1" t="s">
        <v>16</v>
      </c>
      <c r="J690" s="1" t="s">
        <v>34</v>
      </c>
      <c r="K690" s="1" t="s">
        <v>35</v>
      </c>
      <c r="L690" s="5" t="s">
        <v>54</v>
      </c>
      <c r="M690" s="1" t="s">
        <v>48</v>
      </c>
      <c r="N690" s="1" t="str">
        <f>YEAR(sales_data[[#This Row],[Date]]) &amp; "-" &amp; TEXT(MONTH(sales_data[[#This Row],[Date]]), "00")</f>
        <v>2024-03</v>
      </c>
      <c r="O690" s="1">
        <f xml:space="preserve"> (sales_data[[#This Row],[Sales]]* (100 - sales_data[[#This Row],[Discount]]))/100</f>
        <v>13329.8725254089</v>
      </c>
    </row>
    <row r="691" spans="1:15" x14ac:dyDescent="0.5">
      <c r="A691" s="1" t="s">
        <v>847</v>
      </c>
      <c r="B691" s="1" t="s">
        <v>29</v>
      </c>
      <c r="C691">
        <v>22750.2604951227</v>
      </c>
      <c r="D691">
        <v>15</v>
      </c>
      <c r="E691" s="2">
        <v>45370</v>
      </c>
      <c r="F691" s="1">
        <v>117</v>
      </c>
      <c r="G691" s="1">
        <v>21</v>
      </c>
      <c r="H691" s="1" t="s">
        <v>15</v>
      </c>
      <c r="I691" s="1" t="s">
        <v>23</v>
      </c>
      <c r="J691" s="1" t="s">
        <v>34</v>
      </c>
      <c r="K691" s="1" t="s">
        <v>25</v>
      </c>
      <c r="L691" s="5" t="s">
        <v>19</v>
      </c>
      <c r="M691" s="1" t="s">
        <v>48</v>
      </c>
      <c r="N691" s="1" t="str">
        <f>YEAR(sales_data[[#This Row],[Date]]) &amp; "-" &amp; TEXT(MONTH(sales_data[[#This Row],[Date]]), "00")</f>
        <v>2024-03</v>
      </c>
      <c r="O691" s="1">
        <f xml:space="preserve"> (sales_data[[#This Row],[Sales]]* (100 - sales_data[[#This Row],[Discount]]))/100</f>
        <v>19337.721420854294</v>
      </c>
    </row>
    <row r="692" spans="1:15" x14ac:dyDescent="0.5">
      <c r="A692" s="1" t="s">
        <v>1003</v>
      </c>
      <c r="B692" s="1" t="s">
        <v>50</v>
      </c>
      <c r="C692">
        <v>24747.770677206601</v>
      </c>
      <c r="D692">
        <v>15</v>
      </c>
      <c r="E692" s="2">
        <v>45370</v>
      </c>
      <c r="F692" s="1">
        <v>168</v>
      </c>
      <c r="G692" s="1">
        <v>26</v>
      </c>
      <c r="H692" s="1" t="s">
        <v>15</v>
      </c>
      <c r="I692" s="1" t="s">
        <v>16</v>
      </c>
      <c r="J692" s="1" t="s">
        <v>34</v>
      </c>
      <c r="K692" s="1" t="s">
        <v>18</v>
      </c>
      <c r="L692" s="5" t="s">
        <v>38</v>
      </c>
      <c r="M692" s="1" t="s">
        <v>41</v>
      </c>
      <c r="N692" s="1" t="str">
        <f>YEAR(sales_data[[#This Row],[Date]]) &amp; "-" &amp; TEXT(MONTH(sales_data[[#This Row],[Date]]), "00")</f>
        <v>2024-03</v>
      </c>
      <c r="O692" s="1">
        <f xml:space="preserve"> (sales_data[[#This Row],[Sales]]* (100 - sales_data[[#This Row],[Discount]]))/100</f>
        <v>21035.605075625608</v>
      </c>
    </row>
    <row r="693" spans="1:15" x14ac:dyDescent="0.5">
      <c r="A693" s="1" t="s">
        <v>114</v>
      </c>
      <c r="B693" s="1" t="s">
        <v>40</v>
      </c>
      <c r="C693">
        <v>16035.6358386882</v>
      </c>
      <c r="D693">
        <v>15</v>
      </c>
      <c r="E693" s="2">
        <v>45371</v>
      </c>
      <c r="F693" s="1">
        <v>146</v>
      </c>
      <c r="G693" s="1">
        <v>83</v>
      </c>
      <c r="H693" s="1" t="s">
        <v>38</v>
      </c>
      <c r="I693" s="1" t="s">
        <v>16</v>
      </c>
      <c r="J693" s="1" t="s">
        <v>24</v>
      </c>
      <c r="K693" s="1" t="s">
        <v>25</v>
      </c>
      <c r="L693" s="5" t="s">
        <v>38</v>
      </c>
      <c r="M693" s="1" t="s">
        <v>41</v>
      </c>
      <c r="N693" s="1" t="str">
        <f>YEAR(sales_data[[#This Row],[Date]]) &amp; "-" &amp; TEXT(MONTH(sales_data[[#This Row],[Date]]), "00")</f>
        <v>2024-03</v>
      </c>
      <c r="O693" s="1">
        <f xml:space="preserve"> (sales_data[[#This Row],[Sales]]* (100 - sales_data[[#This Row],[Discount]]))/100</f>
        <v>13630.29046288497</v>
      </c>
    </row>
    <row r="694" spans="1:15" x14ac:dyDescent="0.5">
      <c r="A694" s="1" t="s">
        <v>192</v>
      </c>
      <c r="B694" s="1" t="s">
        <v>14</v>
      </c>
      <c r="C694">
        <v>13944.9190011877</v>
      </c>
      <c r="D694">
        <v>10</v>
      </c>
      <c r="E694" s="2">
        <v>45371</v>
      </c>
      <c r="F694" s="1">
        <v>131</v>
      </c>
      <c r="G694" s="1">
        <v>39</v>
      </c>
      <c r="H694" s="1" t="s">
        <v>38</v>
      </c>
      <c r="I694" s="1" t="s">
        <v>16</v>
      </c>
      <c r="J694" s="1" t="s">
        <v>34</v>
      </c>
      <c r="K694" s="1" t="s">
        <v>18</v>
      </c>
      <c r="L694" s="5" t="s">
        <v>58</v>
      </c>
      <c r="M694" s="1" t="s">
        <v>44</v>
      </c>
      <c r="N694" s="1" t="str">
        <f>YEAR(sales_data[[#This Row],[Date]]) &amp; "-" &amp; TEXT(MONTH(sales_data[[#This Row],[Date]]), "00")</f>
        <v>2024-03</v>
      </c>
      <c r="O694" s="1">
        <f xml:space="preserve"> (sales_data[[#This Row],[Sales]]* (100 - sales_data[[#This Row],[Discount]]))/100</f>
        <v>12550.42710106893</v>
      </c>
    </row>
    <row r="695" spans="1:15" x14ac:dyDescent="0.5">
      <c r="A695" s="1" t="s">
        <v>1005</v>
      </c>
      <c r="B695" s="1" t="s">
        <v>29</v>
      </c>
      <c r="C695">
        <v>7230.3943254902197</v>
      </c>
      <c r="D695">
        <v>0</v>
      </c>
      <c r="E695" s="2">
        <v>45371</v>
      </c>
      <c r="F695" s="1">
        <v>152</v>
      </c>
      <c r="G695" s="1">
        <v>4</v>
      </c>
      <c r="H695" s="1" t="s">
        <v>38</v>
      </c>
      <c r="I695" s="1" t="s">
        <v>23</v>
      </c>
      <c r="J695" s="1" t="s">
        <v>34</v>
      </c>
      <c r="K695" s="1" t="s">
        <v>18</v>
      </c>
      <c r="L695" s="5" t="s">
        <v>85</v>
      </c>
      <c r="M695" s="1" t="s">
        <v>31</v>
      </c>
      <c r="N695" s="1" t="str">
        <f>YEAR(sales_data[[#This Row],[Date]]) &amp; "-" &amp; TEXT(MONTH(sales_data[[#This Row],[Date]]), "00")</f>
        <v>2024-03</v>
      </c>
      <c r="O695" s="1">
        <f xml:space="preserve"> (sales_data[[#This Row],[Sales]]* (100 - sales_data[[#This Row],[Discount]]))/100</f>
        <v>7230.3943254902206</v>
      </c>
    </row>
    <row r="696" spans="1:15" x14ac:dyDescent="0.5">
      <c r="A696" s="1" t="s">
        <v>461</v>
      </c>
      <c r="B696" s="1" t="s">
        <v>29</v>
      </c>
      <c r="C696">
        <v>20480.603884704899</v>
      </c>
      <c r="D696">
        <v>15</v>
      </c>
      <c r="E696" s="2">
        <v>45372</v>
      </c>
      <c r="F696" s="1">
        <v>182</v>
      </c>
      <c r="G696" s="1">
        <v>36</v>
      </c>
      <c r="H696" s="1" t="s">
        <v>15</v>
      </c>
      <c r="I696" s="1" t="s">
        <v>33</v>
      </c>
      <c r="J696" s="1" t="s">
        <v>17</v>
      </c>
      <c r="K696" s="1" t="s">
        <v>25</v>
      </c>
      <c r="L696" s="5" t="s">
        <v>46</v>
      </c>
      <c r="M696" s="1" t="s">
        <v>20</v>
      </c>
      <c r="N696" s="1" t="str">
        <f>YEAR(sales_data[[#This Row],[Date]]) &amp; "-" &amp; TEXT(MONTH(sales_data[[#This Row],[Date]]), "00")</f>
        <v>2024-03</v>
      </c>
      <c r="O696" s="1">
        <f xml:space="preserve"> (sales_data[[#This Row],[Sales]]* (100 - sales_data[[#This Row],[Discount]]))/100</f>
        <v>17408.513301999163</v>
      </c>
    </row>
    <row r="697" spans="1:15" x14ac:dyDescent="0.5">
      <c r="A697" s="1" t="s">
        <v>743</v>
      </c>
      <c r="B697" s="1" t="s">
        <v>50</v>
      </c>
      <c r="C697">
        <v>21909.6772611577</v>
      </c>
      <c r="D697">
        <v>10</v>
      </c>
      <c r="E697" s="2">
        <v>45372</v>
      </c>
      <c r="F697" s="1">
        <v>176</v>
      </c>
      <c r="G697" s="1">
        <v>84</v>
      </c>
      <c r="H697" s="1" t="s">
        <v>15</v>
      </c>
      <c r="I697" s="1" t="s">
        <v>16</v>
      </c>
      <c r="J697" s="1" t="s">
        <v>24</v>
      </c>
      <c r="K697" s="1" t="s">
        <v>25</v>
      </c>
      <c r="L697" s="5" t="s">
        <v>58</v>
      </c>
      <c r="M697" s="1" t="s">
        <v>31</v>
      </c>
      <c r="N697" s="1" t="str">
        <f>YEAR(sales_data[[#This Row],[Date]]) &amp; "-" &amp; TEXT(MONTH(sales_data[[#This Row],[Date]]), "00")</f>
        <v>2024-03</v>
      </c>
      <c r="O697" s="1">
        <f xml:space="preserve"> (sales_data[[#This Row],[Sales]]* (100 - sales_data[[#This Row],[Discount]]))/100</f>
        <v>19718.709535041929</v>
      </c>
    </row>
    <row r="698" spans="1:15" x14ac:dyDescent="0.5">
      <c r="A698" s="1" t="s">
        <v>990</v>
      </c>
      <c r="B698" s="1" t="s">
        <v>14</v>
      </c>
      <c r="C698">
        <v>26093.809258486501</v>
      </c>
      <c r="D698">
        <v>10</v>
      </c>
      <c r="E698" s="2">
        <v>45372</v>
      </c>
      <c r="F698" s="1">
        <v>135</v>
      </c>
      <c r="G698" s="1">
        <v>8</v>
      </c>
      <c r="H698" s="1" t="s">
        <v>15</v>
      </c>
      <c r="I698" s="1" t="s">
        <v>33</v>
      </c>
      <c r="J698" s="1" t="s">
        <v>34</v>
      </c>
      <c r="K698" s="1" t="s">
        <v>35</v>
      </c>
      <c r="L698" s="5" t="s">
        <v>30</v>
      </c>
      <c r="M698" s="1" t="s">
        <v>41</v>
      </c>
      <c r="N698" s="1" t="str">
        <f>YEAR(sales_data[[#This Row],[Date]]) &amp; "-" &amp; TEXT(MONTH(sales_data[[#This Row],[Date]]), "00")</f>
        <v>2024-03</v>
      </c>
      <c r="O698" s="1">
        <f xml:space="preserve"> (sales_data[[#This Row],[Sales]]* (100 - sales_data[[#This Row],[Discount]]))/100</f>
        <v>23484.42833263785</v>
      </c>
    </row>
    <row r="699" spans="1:15" x14ac:dyDescent="0.5">
      <c r="A699" s="1" t="s">
        <v>134</v>
      </c>
      <c r="B699" s="1" t="s">
        <v>50</v>
      </c>
      <c r="C699">
        <v>18754.819802218099</v>
      </c>
      <c r="D699">
        <v>10</v>
      </c>
      <c r="E699" s="2">
        <v>45375</v>
      </c>
      <c r="F699" s="1">
        <v>140</v>
      </c>
      <c r="G699" s="1">
        <v>69</v>
      </c>
      <c r="H699" s="1" t="s">
        <v>15</v>
      </c>
      <c r="I699" s="1" t="s">
        <v>16</v>
      </c>
      <c r="J699" s="1" t="s">
        <v>24</v>
      </c>
      <c r="K699" s="1" t="s">
        <v>35</v>
      </c>
      <c r="L699" s="5" t="s">
        <v>26</v>
      </c>
      <c r="M699" s="1" t="s">
        <v>55</v>
      </c>
      <c r="N699" s="1" t="str">
        <f>YEAR(sales_data[[#This Row],[Date]]) &amp; "-" &amp; TEXT(MONTH(sales_data[[#This Row],[Date]]), "00")</f>
        <v>2024-03</v>
      </c>
      <c r="O699" s="1">
        <f xml:space="preserve"> (sales_data[[#This Row],[Sales]]* (100 - sales_data[[#This Row],[Discount]]))/100</f>
        <v>16879.337821996291</v>
      </c>
    </row>
    <row r="700" spans="1:15" x14ac:dyDescent="0.5">
      <c r="A700" s="1" t="s">
        <v>210</v>
      </c>
      <c r="B700" s="1" t="s">
        <v>29</v>
      </c>
      <c r="C700">
        <v>19221.613823039599</v>
      </c>
      <c r="D700">
        <v>5</v>
      </c>
      <c r="E700" s="2">
        <v>45375</v>
      </c>
      <c r="F700" s="1">
        <v>155</v>
      </c>
      <c r="G700" s="1">
        <v>63</v>
      </c>
      <c r="H700" s="1" t="s">
        <v>15</v>
      </c>
      <c r="I700" s="1" t="s">
        <v>16</v>
      </c>
      <c r="J700" s="1" t="s">
        <v>17</v>
      </c>
      <c r="K700" s="1" t="s">
        <v>25</v>
      </c>
      <c r="L700" s="5" t="s">
        <v>30</v>
      </c>
      <c r="M700" s="1" t="s">
        <v>55</v>
      </c>
      <c r="N700" s="1" t="str">
        <f>YEAR(sales_data[[#This Row],[Date]]) &amp; "-" &amp; TEXT(MONTH(sales_data[[#This Row],[Date]]), "00")</f>
        <v>2024-03</v>
      </c>
      <c r="O700" s="1">
        <f xml:space="preserve"> (sales_data[[#This Row],[Sales]]* (100 - sales_data[[#This Row],[Discount]]))/100</f>
        <v>18260.53313188762</v>
      </c>
    </row>
    <row r="701" spans="1:15" x14ac:dyDescent="0.5">
      <c r="A701" s="1" t="s">
        <v>804</v>
      </c>
      <c r="B701" s="1" t="s">
        <v>14</v>
      </c>
      <c r="C701">
        <v>20077.895237907302</v>
      </c>
      <c r="D701">
        <v>15</v>
      </c>
      <c r="E701" s="2">
        <v>45375</v>
      </c>
      <c r="F701" s="1">
        <v>120</v>
      </c>
      <c r="G701" s="1">
        <v>86</v>
      </c>
      <c r="H701" s="1" t="s">
        <v>15</v>
      </c>
      <c r="I701" s="1" t="s">
        <v>33</v>
      </c>
      <c r="J701" s="1" t="s">
        <v>17</v>
      </c>
      <c r="K701" s="1" t="s">
        <v>35</v>
      </c>
      <c r="L701" s="5" t="s">
        <v>46</v>
      </c>
      <c r="M701" s="1" t="s">
        <v>20</v>
      </c>
      <c r="N701" s="1" t="str">
        <f>YEAR(sales_data[[#This Row],[Date]]) &amp; "-" &amp; TEXT(MONTH(sales_data[[#This Row],[Date]]), "00")</f>
        <v>2024-03</v>
      </c>
      <c r="O701" s="1">
        <f xml:space="preserve"> (sales_data[[#This Row],[Sales]]* (100 - sales_data[[#This Row],[Discount]]))/100</f>
        <v>17066.210952221205</v>
      </c>
    </row>
    <row r="702" spans="1:15" x14ac:dyDescent="0.5">
      <c r="A702" s="1" t="s">
        <v>973</v>
      </c>
      <c r="B702" s="1" t="s">
        <v>50</v>
      </c>
      <c r="C702">
        <v>20051.7630992169</v>
      </c>
      <c r="D702">
        <v>5</v>
      </c>
      <c r="E702" s="2">
        <v>45376</v>
      </c>
      <c r="F702" s="1">
        <v>107</v>
      </c>
      <c r="G702" s="1">
        <v>20</v>
      </c>
      <c r="H702" s="1" t="s">
        <v>15</v>
      </c>
      <c r="I702" s="1" t="s">
        <v>33</v>
      </c>
      <c r="J702" s="1" t="s">
        <v>24</v>
      </c>
      <c r="K702" s="1" t="s">
        <v>25</v>
      </c>
      <c r="L702" s="5" t="s">
        <v>36</v>
      </c>
      <c r="M702" s="1" t="s">
        <v>55</v>
      </c>
      <c r="N702" s="1" t="str">
        <f>YEAR(sales_data[[#This Row],[Date]]) &amp; "-" &amp; TEXT(MONTH(sales_data[[#This Row],[Date]]), "00")</f>
        <v>2024-03</v>
      </c>
      <c r="O702" s="1">
        <f xml:space="preserve"> (sales_data[[#This Row],[Sales]]* (100 - sales_data[[#This Row],[Discount]]))/100</f>
        <v>19049.174944256054</v>
      </c>
    </row>
    <row r="703" spans="1:15" x14ac:dyDescent="0.5">
      <c r="A703" s="1" t="s">
        <v>927</v>
      </c>
      <c r="B703" s="1" t="s">
        <v>40</v>
      </c>
      <c r="C703">
        <v>16322.3502870511</v>
      </c>
      <c r="D703">
        <v>15</v>
      </c>
      <c r="E703" s="2">
        <v>45378</v>
      </c>
      <c r="F703" s="1">
        <v>183</v>
      </c>
      <c r="G703" s="1">
        <v>90</v>
      </c>
      <c r="H703" s="1" t="s">
        <v>15</v>
      </c>
      <c r="I703" s="1" t="s">
        <v>23</v>
      </c>
      <c r="J703" s="1" t="s">
        <v>24</v>
      </c>
      <c r="K703" s="1" t="s">
        <v>25</v>
      </c>
      <c r="L703" s="5" t="s">
        <v>36</v>
      </c>
      <c r="M703" s="1" t="s">
        <v>44</v>
      </c>
      <c r="N703" s="1" t="str">
        <f>YEAR(sales_data[[#This Row],[Date]]) &amp; "-" &amp; TEXT(MONTH(sales_data[[#This Row],[Date]]), "00")</f>
        <v>2024-03</v>
      </c>
      <c r="O703" s="1">
        <f xml:space="preserve"> (sales_data[[#This Row],[Sales]]* (100 - sales_data[[#This Row],[Discount]]))/100</f>
        <v>13873.997743993434</v>
      </c>
    </row>
    <row r="704" spans="1:15" x14ac:dyDescent="0.5">
      <c r="A704" s="1" t="s">
        <v>764</v>
      </c>
      <c r="B704" s="1" t="s">
        <v>22</v>
      </c>
      <c r="C704">
        <v>14800.470364372301</v>
      </c>
      <c r="D704">
        <v>0</v>
      </c>
      <c r="E704" s="2">
        <v>45379</v>
      </c>
      <c r="F704" s="1">
        <v>170</v>
      </c>
      <c r="G704" s="1">
        <v>89</v>
      </c>
      <c r="H704" s="1" t="s">
        <v>15</v>
      </c>
      <c r="I704" s="1" t="s">
        <v>33</v>
      </c>
      <c r="J704" s="1" t="s">
        <v>24</v>
      </c>
      <c r="K704" s="1" t="s">
        <v>18</v>
      </c>
      <c r="L704" s="5" t="s">
        <v>54</v>
      </c>
      <c r="M704" s="1" t="s">
        <v>20</v>
      </c>
      <c r="N704" s="1" t="str">
        <f>YEAR(sales_data[[#This Row],[Date]]) &amp; "-" &amp; TEXT(MONTH(sales_data[[#This Row],[Date]]), "00")</f>
        <v>2024-03</v>
      </c>
      <c r="O704" s="1">
        <f xml:space="preserve"> (sales_data[[#This Row],[Sales]]* (100 - sales_data[[#This Row],[Discount]]))/100</f>
        <v>14800.470364372299</v>
      </c>
    </row>
    <row r="705" spans="1:15" x14ac:dyDescent="0.5">
      <c r="A705" s="1" t="s">
        <v>97</v>
      </c>
      <c r="B705" s="1" t="s">
        <v>14</v>
      </c>
      <c r="C705">
        <v>11483.0878032242</v>
      </c>
      <c r="D705">
        <v>0</v>
      </c>
      <c r="E705" s="2">
        <v>45380</v>
      </c>
      <c r="F705" s="1">
        <v>175</v>
      </c>
      <c r="G705" s="1">
        <v>3</v>
      </c>
      <c r="H705" s="1" t="s">
        <v>15</v>
      </c>
      <c r="I705" s="1" t="s">
        <v>23</v>
      </c>
      <c r="J705" s="1" t="s">
        <v>34</v>
      </c>
      <c r="K705" s="1" t="s">
        <v>35</v>
      </c>
      <c r="L705" s="5" t="s">
        <v>30</v>
      </c>
      <c r="M705" s="1" t="s">
        <v>48</v>
      </c>
      <c r="N705" s="1" t="str">
        <f>YEAR(sales_data[[#This Row],[Date]]) &amp; "-" &amp; TEXT(MONTH(sales_data[[#This Row],[Date]]), "00")</f>
        <v>2024-03</v>
      </c>
      <c r="O705" s="1">
        <f xml:space="preserve"> (sales_data[[#This Row],[Sales]]* (100 - sales_data[[#This Row],[Discount]]))/100</f>
        <v>11483.0878032242</v>
      </c>
    </row>
    <row r="706" spans="1:15" x14ac:dyDescent="0.5">
      <c r="A706" s="1" t="s">
        <v>101</v>
      </c>
      <c r="B706" s="1" t="s">
        <v>22</v>
      </c>
      <c r="C706">
        <v>9662.7894998006104</v>
      </c>
      <c r="D706">
        <v>0</v>
      </c>
      <c r="E706" s="2">
        <v>45381</v>
      </c>
      <c r="F706" s="1">
        <v>111</v>
      </c>
      <c r="G706" s="1">
        <v>76</v>
      </c>
      <c r="H706" s="1" t="s">
        <v>15</v>
      </c>
      <c r="I706" s="1" t="s">
        <v>16</v>
      </c>
      <c r="J706" s="1" t="s">
        <v>17</v>
      </c>
      <c r="K706" s="1" t="s">
        <v>25</v>
      </c>
      <c r="L706" s="5" t="s">
        <v>26</v>
      </c>
      <c r="M706" s="1" t="s">
        <v>55</v>
      </c>
      <c r="N706" s="1" t="str">
        <f>YEAR(sales_data[[#This Row],[Date]]) &amp; "-" &amp; TEXT(MONTH(sales_data[[#This Row],[Date]]), "00")</f>
        <v>2024-03</v>
      </c>
      <c r="O706" s="1">
        <f xml:space="preserve"> (sales_data[[#This Row],[Sales]]* (100 - sales_data[[#This Row],[Discount]]))/100</f>
        <v>9662.7894998006104</v>
      </c>
    </row>
    <row r="707" spans="1:15" x14ac:dyDescent="0.5">
      <c r="A707" s="1" t="s">
        <v>943</v>
      </c>
      <c r="B707" s="1" t="s">
        <v>14</v>
      </c>
      <c r="C707">
        <v>0</v>
      </c>
      <c r="D707">
        <v>10</v>
      </c>
      <c r="E707" s="2">
        <v>45383</v>
      </c>
      <c r="F707" s="1">
        <v>164</v>
      </c>
      <c r="G707" s="1">
        <v>87</v>
      </c>
      <c r="H707" s="1" t="s">
        <v>15</v>
      </c>
      <c r="I707" s="1" t="s">
        <v>23</v>
      </c>
      <c r="J707" s="1" t="s">
        <v>34</v>
      </c>
      <c r="K707" s="1" t="s">
        <v>25</v>
      </c>
      <c r="L707" s="5" t="s">
        <v>46</v>
      </c>
      <c r="M707" s="1" t="s">
        <v>20</v>
      </c>
      <c r="N707" s="1" t="str">
        <f>YEAR(sales_data[[#This Row],[Date]]) &amp; "-" &amp; TEXT(MONTH(sales_data[[#This Row],[Date]]), "00")</f>
        <v>2024-04</v>
      </c>
      <c r="O707" s="1">
        <f xml:space="preserve"> (sales_data[[#This Row],[Sales]]* (100 - sales_data[[#This Row],[Discount]]))/100</f>
        <v>0</v>
      </c>
    </row>
    <row r="708" spans="1:15" x14ac:dyDescent="0.5">
      <c r="A708" s="1" t="s">
        <v>595</v>
      </c>
      <c r="B708" s="1" t="s">
        <v>29</v>
      </c>
      <c r="C708">
        <v>14893.8359143464</v>
      </c>
      <c r="D708">
        <v>0</v>
      </c>
      <c r="E708" s="2">
        <v>45384</v>
      </c>
      <c r="F708" s="1">
        <v>110</v>
      </c>
      <c r="G708" s="1">
        <v>46</v>
      </c>
      <c r="H708" s="1" t="s">
        <v>15</v>
      </c>
      <c r="I708" s="1" t="s">
        <v>16</v>
      </c>
      <c r="J708" s="1" t="s">
        <v>24</v>
      </c>
      <c r="K708" s="1" t="s">
        <v>18</v>
      </c>
      <c r="L708" s="5" t="s">
        <v>85</v>
      </c>
      <c r="M708" s="1" t="s">
        <v>31</v>
      </c>
      <c r="N708" s="1" t="str">
        <f>YEAR(sales_data[[#This Row],[Date]]) &amp; "-" &amp; TEXT(MONTH(sales_data[[#This Row],[Date]]), "00")</f>
        <v>2024-04</v>
      </c>
      <c r="O708" s="1">
        <f xml:space="preserve"> (sales_data[[#This Row],[Sales]]* (100 - sales_data[[#This Row],[Discount]]))/100</f>
        <v>14893.8359143464</v>
      </c>
    </row>
    <row r="709" spans="1:15" x14ac:dyDescent="0.5">
      <c r="A709" s="1" t="s">
        <v>811</v>
      </c>
      <c r="B709" s="1" t="s">
        <v>29</v>
      </c>
      <c r="C709">
        <v>16805.191261552402</v>
      </c>
      <c r="D709">
        <v>10</v>
      </c>
      <c r="E709" s="2">
        <v>45384</v>
      </c>
      <c r="F709" s="1">
        <v>161</v>
      </c>
      <c r="G709" s="1">
        <v>32</v>
      </c>
      <c r="H709" s="1" t="s">
        <v>15</v>
      </c>
      <c r="I709" s="1" t="s">
        <v>33</v>
      </c>
      <c r="J709" s="1" t="s">
        <v>24</v>
      </c>
      <c r="K709" s="1" t="s">
        <v>35</v>
      </c>
      <c r="L709" s="5" t="s">
        <v>54</v>
      </c>
      <c r="M709" s="1" t="s">
        <v>41</v>
      </c>
      <c r="N709" s="1" t="str">
        <f>YEAR(sales_data[[#This Row],[Date]]) &amp; "-" &amp; TEXT(MONTH(sales_data[[#This Row],[Date]]), "00")</f>
        <v>2024-04</v>
      </c>
      <c r="O709" s="1">
        <f xml:space="preserve"> (sales_data[[#This Row],[Sales]]* (100 - sales_data[[#This Row],[Discount]]))/100</f>
        <v>15124.672135397161</v>
      </c>
    </row>
    <row r="710" spans="1:15" x14ac:dyDescent="0.5">
      <c r="A710" s="1" t="s">
        <v>195</v>
      </c>
      <c r="B710" s="1" t="s">
        <v>40</v>
      </c>
      <c r="C710">
        <v>15697.933173580201</v>
      </c>
      <c r="D710">
        <v>0</v>
      </c>
      <c r="E710" s="2">
        <v>45386</v>
      </c>
      <c r="F710" s="1">
        <v>127</v>
      </c>
      <c r="G710" s="1">
        <v>13</v>
      </c>
      <c r="H710" s="1" t="s">
        <v>15</v>
      </c>
      <c r="I710" s="1" t="s">
        <v>16</v>
      </c>
      <c r="J710" s="1" t="s">
        <v>17</v>
      </c>
      <c r="K710" s="1" t="s">
        <v>18</v>
      </c>
      <c r="L710" s="5" t="s">
        <v>43</v>
      </c>
      <c r="M710" s="1" t="s">
        <v>55</v>
      </c>
      <c r="N710" s="1" t="str">
        <f>YEAR(sales_data[[#This Row],[Date]]) &amp; "-" &amp; TEXT(MONTH(sales_data[[#This Row],[Date]]), "00")</f>
        <v>2024-04</v>
      </c>
      <c r="O710" s="1">
        <f xml:space="preserve"> (sales_data[[#This Row],[Sales]]* (100 - sales_data[[#This Row],[Discount]]))/100</f>
        <v>15697.933173580201</v>
      </c>
    </row>
    <row r="711" spans="1:15" x14ac:dyDescent="0.5">
      <c r="A711" s="1" t="s">
        <v>276</v>
      </c>
      <c r="B711" s="1" t="s">
        <v>22</v>
      </c>
      <c r="C711">
        <v>23628.8331194934</v>
      </c>
      <c r="D711">
        <v>10</v>
      </c>
      <c r="E711" s="2">
        <v>45386</v>
      </c>
      <c r="F711" s="1">
        <v>146</v>
      </c>
      <c r="G711" s="1">
        <v>59</v>
      </c>
      <c r="H711" s="1" t="s">
        <v>15</v>
      </c>
      <c r="I711" s="1" t="s">
        <v>23</v>
      </c>
      <c r="J711" s="1" t="s">
        <v>24</v>
      </c>
      <c r="K711" s="1" t="s">
        <v>18</v>
      </c>
      <c r="L711" s="5" t="s">
        <v>19</v>
      </c>
      <c r="M711" s="1" t="s">
        <v>31</v>
      </c>
      <c r="N711" s="1" t="str">
        <f>YEAR(sales_data[[#This Row],[Date]]) &amp; "-" &amp; TEXT(MONTH(sales_data[[#This Row],[Date]]), "00")</f>
        <v>2024-04</v>
      </c>
      <c r="O711" s="1">
        <f xml:space="preserve"> (sales_data[[#This Row],[Sales]]* (100 - sales_data[[#This Row],[Discount]]))/100</f>
        <v>21265.949807544061</v>
      </c>
    </row>
    <row r="712" spans="1:15" x14ac:dyDescent="0.5">
      <c r="A712" s="1" t="s">
        <v>278</v>
      </c>
      <c r="B712" s="1" t="s">
        <v>22</v>
      </c>
      <c r="C712">
        <v>21119.4201213956</v>
      </c>
      <c r="D712">
        <v>10</v>
      </c>
      <c r="E712" s="2">
        <v>45386</v>
      </c>
      <c r="F712" s="1">
        <v>195</v>
      </c>
      <c r="G712" s="1">
        <v>2</v>
      </c>
      <c r="H712" s="1" t="s">
        <v>15</v>
      </c>
      <c r="I712" s="1" t="s">
        <v>16</v>
      </c>
      <c r="J712" s="1" t="s">
        <v>34</v>
      </c>
      <c r="K712" s="1" t="s">
        <v>18</v>
      </c>
      <c r="L712" s="5" t="s">
        <v>58</v>
      </c>
      <c r="M712" s="1" t="s">
        <v>20</v>
      </c>
      <c r="N712" s="1" t="str">
        <f>YEAR(sales_data[[#This Row],[Date]]) &amp; "-" &amp; TEXT(MONTH(sales_data[[#This Row],[Date]]), "00")</f>
        <v>2024-04</v>
      </c>
      <c r="O712" s="1">
        <f xml:space="preserve"> (sales_data[[#This Row],[Sales]]* (100 - sales_data[[#This Row],[Discount]]))/100</f>
        <v>19007.478109256041</v>
      </c>
    </row>
    <row r="713" spans="1:15" x14ac:dyDescent="0.5">
      <c r="A713" s="1" t="s">
        <v>352</v>
      </c>
      <c r="B713" s="1" t="s">
        <v>50</v>
      </c>
      <c r="C713">
        <v>23079.678034721299</v>
      </c>
      <c r="D713">
        <v>15</v>
      </c>
      <c r="E713" s="2">
        <v>45386</v>
      </c>
      <c r="F713" s="1">
        <v>199</v>
      </c>
      <c r="G713" s="1">
        <v>75</v>
      </c>
      <c r="H713" s="1" t="s">
        <v>15</v>
      </c>
      <c r="I713" s="1" t="s">
        <v>16</v>
      </c>
      <c r="J713" s="1" t="s">
        <v>24</v>
      </c>
      <c r="K713" s="1" t="s">
        <v>25</v>
      </c>
      <c r="L713" s="5" t="s">
        <v>30</v>
      </c>
      <c r="M713" s="1" t="s">
        <v>55</v>
      </c>
      <c r="N713" s="1" t="str">
        <f>YEAR(sales_data[[#This Row],[Date]]) &amp; "-" &amp; TEXT(MONTH(sales_data[[#This Row],[Date]]), "00")</f>
        <v>2024-04</v>
      </c>
      <c r="O713" s="1">
        <f xml:space="preserve"> (sales_data[[#This Row],[Sales]]* (100 - sales_data[[#This Row],[Discount]]))/100</f>
        <v>19617.726329513105</v>
      </c>
    </row>
    <row r="714" spans="1:15" x14ac:dyDescent="0.5">
      <c r="A714" s="1" t="s">
        <v>187</v>
      </c>
      <c r="B714" s="1" t="s">
        <v>22</v>
      </c>
      <c r="C714">
        <v>21298.612508607399</v>
      </c>
      <c r="D714">
        <v>5</v>
      </c>
      <c r="E714" s="2">
        <v>45387</v>
      </c>
      <c r="F714" s="1">
        <v>172</v>
      </c>
      <c r="G714" s="1">
        <v>86</v>
      </c>
      <c r="H714" s="1" t="s">
        <v>38</v>
      </c>
      <c r="I714" s="1" t="s">
        <v>16</v>
      </c>
      <c r="J714" s="1" t="s">
        <v>34</v>
      </c>
      <c r="K714" s="1" t="s">
        <v>35</v>
      </c>
      <c r="L714" s="5" t="s">
        <v>30</v>
      </c>
      <c r="M714" s="1" t="s">
        <v>41</v>
      </c>
      <c r="N714" s="1" t="str">
        <f>YEAR(sales_data[[#This Row],[Date]]) &amp; "-" &amp; TEXT(MONTH(sales_data[[#This Row],[Date]]), "00")</f>
        <v>2024-04</v>
      </c>
      <c r="O714" s="1">
        <f xml:space="preserve"> (sales_data[[#This Row],[Sales]]* (100 - sales_data[[#This Row],[Discount]]))/100</f>
        <v>20233.681883177029</v>
      </c>
    </row>
    <row r="715" spans="1:15" x14ac:dyDescent="0.5">
      <c r="A715" s="1" t="s">
        <v>412</v>
      </c>
      <c r="B715" s="1" t="s">
        <v>50</v>
      </c>
      <c r="C715">
        <v>25268.2089830392</v>
      </c>
      <c r="D715">
        <v>15</v>
      </c>
      <c r="E715" s="2">
        <v>45387</v>
      </c>
      <c r="F715" s="1">
        <v>129</v>
      </c>
      <c r="G715" s="1">
        <v>86</v>
      </c>
      <c r="H715" s="1" t="s">
        <v>15</v>
      </c>
      <c r="I715" s="1" t="s">
        <v>23</v>
      </c>
      <c r="J715" s="1" t="s">
        <v>24</v>
      </c>
      <c r="K715" s="1" t="s">
        <v>25</v>
      </c>
      <c r="L715" s="5" t="s">
        <v>30</v>
      </c>
      <c r="M715" s="1" t="s">
        <v>27</v>
      </c>
      <c r="N715" s="1" t="str">
        <f>YEAR(sales_data[[#This Row],[Date]]) &amp; "-" &amp; TEXT(MONTH(sales_data[[#This Row],[Date]]), "00")</f>
        <v>2024-04</v>
      </c>
      <c r="O715" s="1">
        <f xml:space="preserve"> (sales_data[[#This Row],[Sales]]* (100 - sales_data[[#This Row],[Discount]]))/100</f>
        <v>21477.97763558332</v>
      </c>
    </row>
    <row r="716" spans="1:15" x14ac:dyDescent="0.5">
      <c r="A716" s="1" t="s">
        <v>934</v>
      </c>
      <c r="B716" s="1" t="s">
        <v>29</v>
      </c>
      <c r="C716">
        <v>20708.584568199502</v>
      </c>
      <c r="D716">
        <v>5</v>
      </c>
      <c r="E716" s="2">
        <v>45387</v>
      </c>
      <c r="F716" s="1">
        <v>157</v>
      </c>
      <c r="G716" s="1">
        <v>62</v>
      </c>
      <c r="H716" s="1" t="s">
        <v>15</v>
      </c>
      <c r="I716" s="1" t="s">
        <v>16</v>
      </c>
      <c r="J716" s="1" t="s">
        <v>34</v>
      </c>
      <c r="K716" s="1" t="s">
        <v>35</v>
      </c>
      <c r="L716" s="5" t="s">
        <v>26</v>
      </c>
      <c r="M716" s="1" t="s">
        <v>31</v>
      </c>
      <c r="N716" s="1" t="str">
        <f>YEAR(sales_data[[#This Row],[Date]]) &amp; "-" &amp; TEXT(MONTH(sales_data[[#This Row],[Date]]), "00")</f>
        <v>2024-04</v>
      </c>
      <c r="O716" s="1">
        <f xml:space="preserve"> (sales_data[[#This Row],[Sales]]* (100 - sales_data[[#This Row],[Discount]]))/100</f>
        <v>19673.155339789526</v>
      </c>
    </row>
    <row r="717" spans="1:15" x14ac:dyDescent="0.5">
      <c r="A717" s="1" t="s">
        <v>45</v>
      </c>
      <c r="B717" s="1" t="s">
        <v>29</v>
      </c>
      <c r="C717">
        <v>29157.293829271701</v>
      </c>
      <c r="D717">
        <v>5</v>
      </c>
      <c r="E717" s="2">
        <v>45388</v>
      </c>
      <c r="F717" s="1">
        <v>147</v>
      </c>
      <c r="G717" s="1">
        <v>59</v>
      </c>
      <c r="H717" s="1" t="s">
        <v>15</v>
      </c>
      <c r="I717" s="1" t="s">
        <v>33</v>
      </c>
      <c r="J717" s="1" t="s">
        <v>17</v>
      </c>
      <c r="K717" s="1" t="s">
        <v>35</v>
      </c>
      <c r="L717" s="5" t="s">
        <v>46</v>
      </c>
      <c r="M717" s="1" t="s">
        <v>44</v>
      </c>
      <c r="N717" s="1" t="str">
        <f>YEAR(sales_data[[#This Row],[Date]]) &amp; "-" &amp; TEXT(MONTH(sales_data[[#This Row],[Date]]), "00")</f>
        <v>2024-04</v>
      </c>
      <c r="O717" s="1">
        <f xml:space="preserve"> (sales_data[[#This Row],[Sales]]* (100 - sales_data[[#This Row],[Discount]]))/100</f>
        <v>27699.429137808118</v>
      </c>
    </row>
    <row r="718" spans="1:15" x14ac:dyDescent="0.5">
      <c r="A718" s="1" t="s">
        <v>128</v>
      </c>
      <c r="B718" s="1" t="s">
        <v>22</v>
      </c>
      <c r="C718">
        <v>17120.908796776599</v>
      </c>
      <c r="D718">
        <v>10</v>
      </c>
      <c r="E718" s="2">
        <v>45388</v>
      </c>
      <c r="F718" s="1">
        <v>127</v>
      </c>
      <c r="G718" s="1">
        <v>6</v>
      </c>
      <c r="H718" s="1" t="s">
        <v>15</v>
      </c>
      <c r="I718" s="1" t="s">
        <v>33</v>
      </c>
      <c r="J718" s="1" t="s">
        <v>34</v>
      </c>
      <c r="K718" s="1" t="s">
        <v>18</v>
      </c>
      <c r="L718" s="5" t="s">
        <v>58</v>
      </c>
      <c r="M718" s="1" t="s">
        <v>31</v>
      </c>
      <c r="N718" s="1" t="str">
        <f>YEAR(sales_data[[#This Row],[Date]]) &amp; "-" &amp; TEXT(MONTH(sales_data[[#This Row],[Date]]), "00")</f>
        <v>2024-04</v>
      </c>
      <c r="O718" s="1">
        <f xml:space="preserve"> (sales_data[[#This Row],[Sales]]* (100 - sales_data[[#This Row],[Discount]]))/100</f>
        <v>15408.817917098939</v>
      </c>
    </row>
    <row r="719" spans="1:15" x14ac:dyDescent="0.5">
      <c r="A719" s="1" t="s">
        <v>181</v>
      </c>
      <c r="B719" s="1" t="s">
        <v>29</v>
      </c>
      <c r="C719">
        <v>16686.8812052707</v>
      </c>
      <c r="D719">
        <v>5</v>
      </c>
      <c r="E719" s="2">
        <v>45389</v>
      </c>
      <c r="F719" s="1">
        <v>120</v>
      </c>
      <c r="G719" s="1">
        <v>69</v>
      </c>
      <c r="H719" s="1" t="s">
        <v>15</v>
      </c>
      <c r="I719" s="1" t="s">
        <v>23</v>
      </c>
      <c r="J719" s="1" t="s">
        <v>17</v>
      </c>
      <c r="K719" s="1" t="s">
        <v>25</v>
      </c>
      <c r="L719" s="5" t="s">
        <v>58</v>
      </c>
      <c r="M719" s="1" t="s">
        <v>20</v>
      </c>
      <c r="N719" s="1" t="str">
        <f>YEAR(sales_data[[#This Row],[Date]]) &amp; "-" &amp; TEXT(MONTH(sales_data[[#This Row],[Date]]), "00")</f>
        <v>2024-04</v>
      </c>
      <c r="O719" s="1">
        <f xml:space="preserve"> (sales_data[[#This Row],[Sales]]* (100 - sales_data[[#This Row],[Discount]]))/100</f>
        <v>15852.537145007163</v>
      </c>
    </row>
    <row r="720" spans="1:15" x14ac:dyDescent="0.5">
      <c r="A720" s="1" t="s">
        <v>707</v>
      </c>
      <c r="B720" s="1" t="s">
        <v>29</v>
      </c>
      <c r="C720">
        <v>27382.701748629399</v>
      </c>
      <c r="D720">
        <v>10</v>
      </c>
      <c r="E720" s="2">
        <v>45389</v>
      </c>
      <c r="F720" s="1">
        <v>106</v>
      </c>
      <c r="G720" s="1">
        <v>81</v>
      </c>
      <c r="H720" s="1" t="s">
        <v>15</v>
      </c>
      <c r="I720" s="1" t="s">
        <v>16</v>
      </c>
      <c r="J720" s="1" t="s">
        <v>17</v>
      </c>
      <c r="K720" s="1" t="s">
        <v>35</v>
      </c>
      <c r="L720" s="5" t="s">
        <v>36</v>
      </c>
      <c r="M720" s="1" t="s">
        <v>55</v>
      </c>
      <c r="N720" s="1" t="str">
        <f>YEAR(sales_data[[#This Row],[Date]]) &amp; "-" &amp; TEXT(MONTH(sales_data[[#This Row],[Date]]), "00")</f>
        <v>2024-04</v>
      </c>
      <c r="O720" s="1">
        <f xml:space="preserve"> (sales_data[[#This Row],[Sales]]* (100 - sales_data[[#This Row],[Discount]]))/100</f>
        <v>24644.431573766462</v>
      </c>
    </row>
    <row r="721" spans="1:15" x14ac:dyDescent="0.5">
      <c r="A721" s="1" t="s">
        <v>511</v>
      </c>
      <c r="B721" s="1" t="s">
        <v>22</v>
      </c>
      <c r="C721">
        <v>16813.064363467402</v>
      </c>
      <c r="D721">
        <v>0</v>
      </c>
      <c r="E721" s="2">
        <v>45390</v>
      </c>
      <c r="F721" s="1">
        <v>131</v>
      </c>
      <c r="G721" s="1">
        <v>73</v>
      </c>
      <c r="H721" s="1" t="s">
        <v>38</v>
      </c>
      <c r="I721" s="1" t="s">
        <v>33</v>
      </c>
      <c r="J721" s="1" t="s">
        <v>24</v>
      </c>
      <c r="K721" s="1" t="s">
        <v>25</v>
      </c>
      <c r="L721" s="5" t="s">
        <v>38</v>
      </c>
      <c r="M721" s="1" t="s">
        <v>44</v>
      </c>
      <c r="N721" s="1" t="str">
        <f>YEAR(sales_data[[#This Row],[Date]]) &amp; "-" &amp; TEXT(MONTH(sales_data[[#This Row],[Date]]), "00")</f>
        <v>2024-04</v>
      </c>
      <c r="O721" s="1">
        <f xml:space="preserve"> (sales_data[[#This Row],[Sales]]* (100 - sales_data[[#This Row],[Discount]]))/100</f>
        <v>16813.064363467402</v>
      </c>
    </row>
    <row r="722" spans="1:15" x14ac:dyDescent="0.5">
      <c r="A722" s="1" t="s">
        <v>647</v>
      </c>
      <c r="B722" s="1" t="s">
        <v>40</v>
      </c>
      <c r="C722">
        <v>18895.1791308516</v>
      </c>
      <c r="D722">
        <v>0</v>
      </c>
      <c r="E722" s="2">
        <v>45391</v>
      </c>
      <c r="F722" s="1">
        <v>143</v>
      </c>
      <c r="G722" s="1">
        <v>61</v>
      </c>
      <c r="H722" s="1" t="s">
        <v>15</v>
      </c>
      <c r="I722" s="1" t="s">
        <v>23</v>
      </c>
      <c r="J722" s="1" t="s">
        <v>17</v>
      </c>
      <c r="K722" s="1" t="s">
        <v>25</v>
      </c>
      <c r="L722" s="5" t="s">
        <v>38</v>
      </c>
      <c r="M722" s="1" t="s">
        <v>27</v>
      </c>
      <c r="N722" s="1" t="str">
        <f>YEAR(sales_data[[#This Row],[Date]]) &amp; "-" &amp; TEXT(MONTH(sales_data[[#This Row],[Date]]), "00")</f>
        <v>2024-04</v>
      </c>
      <c r="O722" s="1">
        <f xml:space="preserve"> (sales_data[[#This Row],[Sales]]* (100 - sales_data[[#This Row],[Discount]]))/100</f>
        <v>18895.1791308516</v>
      </c>
    </row>
    <row r="723" spans="1:15" x14ac:dyDescent="0.5">
      <c r="A723" s="1" t="s">
        <v>373</v>
      </c>
      <c r="B723" s="1" t="s">
        <v>22</v>
      </c>
      <c r="C723">
        <v>0</v>
      </c>
      <c r="D723">
        <v>10</v>
      </c>
      <c r="E723" s="2">
        <v>45392</v>
      </c>
      <c r="F723" s="1">
        <v>134</v>
      </c>
      <c r="G723" s="1">
        <v>3</v>
      </c>
      <c r="H723" s="1" t="s">
        <v>15</v>
      </c>
      <c r="I723" s="1" t="s">
        <v>33</v>
      </c>
      <c r="J723" s="1" t="s">
        <v>17</v>
      </c>
      <c r="K723" s="1" t="s">
        <v>25</v>
      </c>
      <c r="L723" s="5" t="s">
        <v>38</v>
      </c>
      <c r="M723" s="1" t="s">
        <v>31</v>
      </c>
      <c r="N723" s="1" t="str">
        <f>YEAR(sales_data[[#This Row],[Date]]) &amp; "-" &amp; TEXT(MONTH(sales_data[[#This Row],[Date]]), "00")</f>
        <v>2024-04</v>
      </c>
      <c r="O723" s="1">
        <f xml:space="preserve"> (sales_data[[#This Row],[Sales]]* (100 - sales_data[[#This Row],[Discount]]))/100</f>
        <v>0</v>
      </c>
    </row>
    <row r="724" spans="1:15" x14ac:dyDescent="0.5">
      <c r="A724" s="1" t="s">
        <v>631</v>
      </c>
      <c r="B724" s="1" t="s">
        <v>50</v>
      </c>
      <c r="C724">
        <v>0</v>
      </c>
      <c r="D724">
        <v>10</v>
      </c>
      <c r="E724" s="2">
        <v>45392</v>
      </c>
      <c r="F724" s="1">
        <v>155</v>
      </c>
      <c r="G724" s="1">
        <v>55</v>
      </c>
      <c r="H724" s="1" t="s">
        <v>15</v>
      </c>
      <c r="I724" s="1" t="s">
        <v>16</v>
      </c>
      <c r="J724" s="1" t="s">
        <v>24</v>
      </c>
      <c r="K724" s="1" t="s">
        <v>25</v>
      </c>
      <c r="L724" s="5" t="s">
        <v>58</v>
      </c>
      <c r="M724" s="1" t="s">
        <v>27</v>
      </c>
      <c r="N724" s="1" t="str">
        <f>YEAR(sales_data[[#This Row],[Date]]) &amp; "-" &amp; TEXT(MONTH(sales_data[[#This Row],[Date]]), "00")</f>
        <v>2024-04</v>
      </c>
      <c r="O724" s="1">
        <f xml:space="preserve"> (sales_data[[#This Row],[Sales]]* (100 - sales_data[[#This Row],[Discount]]))/100</f>
        <v>0</v>
      </c>
    </row>
    <row r="725" spans="1:15" x14ac:dyDescent="0.5">
      <c r="A725" s="1" t="s">
        <v>242</v>
      </c>
      <c r="B725" s="1" t="s">
        <v>22</v>
      </c>
      <c r="C725">
        <v>31353.4642890219</v>
      </c>
      <c r="D725">
        <v>0</v>
      </c>
      <c r="E725" s="2">
        <v>45393</v>
      </c>
      <c r="F725" s="1">
        <v>130</v>
      </c>
      <c r="G725" s="1">
        <v>2</v>
      </c>
      <c r="H725" s="1" t="s">
        <v>15</v>
      </c>
      <c r="I725" s="1" t="s">
        <v>23</v>
      </c>
      <c r="J725" s="1" t="s">
        <v>17</v>
      </c>
      <c r="K725" s="1" t="s">
        <v>25</v>
      </c>
      <c r="L725" s="5" t="s">
        <v>38</v>
      </c>
      <c r="M725" s="1" t="s">
        <v>44</v>
      </c>
      <c r="N725" s="1" t="str">
        <f>YEAR(sales_data[[#This Row],[Date]]) &amp; "-" &amp; TEXT(MONTH(sales_data[[#This Row],[Date]]), "00")</f>
        <v>2024-04</v>
      </c>
      <c r="O725" s="1">
        <f xml:space="preserve"> (sales_data[[#This Row],[Sales]]* (100 - sales_data[[#This Row],[Discount]]))/100</f>
        <v>31353.4642890219</v>
      </c>
    </row>
    <row r="726" spans="1:15" x14ac:dyDescent="0.5">
      <c r="A726" s="1" t="s">
        <v>1006</v>
      </c>
      <c r="B726" s="1" t="s">
        <v>29</v>
      </c>
      <c r="C726">
        <v>24671.599556196299</v>
      </c>
      <c r="D726">
        <v>5</v>
      </c>
      <c r="E726" s="2">
        <v>45393</v>
      </c>
      <c r="F726" s="1">
        <v>161</v>
      </c>
      <c r="G726" s="1">
        <v>95</v>
      </c>
      <c r="H726" s="1" t="s">
        <v>15</v>
      </c>
      <c r="I726" s="1" t="s">
        <v>16</v>
      </c>
      <c r="J726" s="1" t="s">
        <v>34</v>
      </c>
      <c r="K726" s="1" t="s">
        <v>18</v>
      </c>
      <c r="L726" s="5" t="s">
        <v>54</v>
      </c>
      <c r="M726" s="1" t="s">
        <v>20</v>
      </c>
      <c r="N726" s="1" t="str">
        <f>YEAR(sales_data[[#This Row],[Date]]) &amp; "-" &amp; TEXT(MONTH(sales_data[[#This Row],[Date]]), "00")</f>
        <v>2024-04</v>
      </c>
      <c r="O726" s="1">
        <f xml:space="preserve"> (sales_data[[#This Row],[Sales]]* (100 - sales_data[[#This Row],[Discount]]))/100</f>
        <v>23438.019578386484</v>
      </c>
    </row>
    <row r="727" spans="1:15" x14ac:dyDescent="0.5">
      <c r="A727" s="1" t="s">
        <v>800</v>
      </c>
      <c r="B727" s="1" t="s">
        <v>50</v>
      </c>
      <c r="C727">
        <v>26878.534066558001</v>
      </c>
      <c r="D727">
        <v>0</v>
      </c>
      <c r="E727" s="2">
        <v>45395</v>
      </c>
      <c r="F727" s="1">
        <v>197</v>
      </c>
      <c r="G727" s="1">
        <v>75</v>
      </c>
      <c r="H727" s="1" t="s">
        <v>15</v>
      </c>
      <c r="I727" s="1" t="s">
        <v>23</v>
      </c>
      <c r="J727" s="1" t="s">
        <v>24</v>
      </c>
      <c r="K727" s="1" t="s">
        <v>25</v>
      </c>
      <c r="L727" s="5" t="s">
        <v>26</v>
      </c>
      <c r="M727" s="1" t="s">
        <v>48</v>
      </c>
      <c r="N727" s="1" t="str">
        <f>YEAR(sales_data[[#This Row],[Date]]) &amp; "-" &amp; TEXT(MONTH(sales_data[[#This Row],[Date]]), "00")</f>
        <v>2024-04</v>
      </c>
      <c r="O727" s="1">
        <f xml:space="preserve"> (sales_data[[#This Row],[Sales]]* (100 - sales_data[[#This Row],[Discount]]))/100</f>
        <v>26878.534066558001</v>
      </c>
    </row>
    <row r="728" spans="1:15" x14ac:dyDescent="0.5">
      <c r="A728" s="1" t="s">
        <v>936</v>
      </c>
      <c r="B728" s="1" t="s">
        <v>14</v>
      </c>
      <c r="C728">
        <v>21966.5891969718</v>
      </c>
      <c r="D728">
        <v>15</v>
      </c>
      <c r="E728" s="2">
        <v>45396</v>
      </c>
      <c r="F728" s="1">
        <v>119</v>
      </c>
      <c r="G728" s="1">
        <v>80</v>
      </c>
      <c r="H728" s="1" t="s">
        <v>15</v>
      </c>
      <c r="I728" s="1" t="s">
        <v>16</v>
      </c>
      <c r="J728" s="1" t="s">
        <v>34</v>
      </c>
      <c r="K728" s="1" t="s">
        <v>18</v>
      </c>
      <c r="L728" s="5" t="s">
        <v>26</v>
      </c>
      <c r="M728" s="1" t="s">
        <v>44</v>
      </c>
      <c r="N728" s="1" t="str">
        <f>YEAR(sales_data[[#This Row],[Date]]) &amp; "-" &amp; TEXT(MONTH(sales_data[[#This Row],[Date]]), "00")</f>
        <v>2024-04</v>
      </c>
      <c r="O728" s="1">
        <f xml:space="preserve"> (sales_data[[#This Row],[Sales]]* (100 - sales_data[[#This Row],[Discount]]))/100</f>
        <v>18671.600817426028</v>
      </c>
    </row>
    <row r="729" spans="1:15" x14ac:dyDescent="0.5">
      <c r="A729" s="1" t="s">
        <v>480</v>
      </c>
      <c r="B729" s="1" t="s">
        <v>22</v>
      </c>
      <c r="C729">
        <v>27046.737200927899</v>
      </c>
      <c r="D729">
        <v>10</v>
      </c>
      <c r="E729" s="2">
        <v>45398</v>
      </c>
      <c r="F729" s="1">
        <v>177</v>
      </c>
      <c r="G729" s="1">
        <v>87</v>
      </c>
      <c r="H729" s="1" t="s">
        <v>15</v>
      </c>
      <c r="I729" s="1" t="s">
        <v>33</v>
      </c>
      <c r="J729" s="1" t="s">
        <v>34</v>
      </c>
      <c r="K729" s="1" t="s">
        <v>25</v>
      </c>
      <c r="L729" s="5" t="s">
        <v>54</v>
      </c>
      <c r="M729" s="1" t="s">
        <v>48</v>
      </c>
      <c r="N729" s="1" t="str">
        <f>YEAR(sales_data[[#This Row],[Date]]) &amp; "-" &amp; TEXT(MONTH(sales_data[[#This Row],[Date]]), "00")</f>
        <v>2024-04</v>
      </c>
      <c r="O729" s="1">
        <f xml:space="preserve"> (sales_data[[#This Row],[Sales]]* (100 - sales_data[[#This Row],[Discount]]))/100</f>
        <v>24342.06348083511</v>
      </c>
    </row>
    <row r="730" spans="1:15" x14ac:dyDescent="0.5">
      <c r="A730" s="1" t="s">
        <v>782</v>
      </c>
      <c r="B730" s="1" t="s">
        <v>29</v>
      </c>
      <c r="C730">
        <v>0</v>
      </c>
      <c r="D730">
        <v>5</v>
      </c>
      <c r="E730" s="2">
        <v>45399</v>
      </c>
      <c r="F730" s="1">
        <v>151</v>
      </c>
      <c r="G730" s="1">
        <v>61</v>
      </c>
      <c r="H730" s="1" t="s">
        <v>15</v>
      </c>
      <c r="I730" s="1" t="s">
        <v>23</v>
      </c>
      <c r="J730" s="1" t="s">
        <v>17</v>
      </c>
      <c r="K730" s="1" t="s">
        <v>25</v>
      </c>
      <c r="L730" s="5" t="s">
        <v>19</v>
      </c>
      <c r="M730" s="1" t="s">
        <v>20</v>
      </c>
      <c r="N730" s="1" t="str">
        <f>YEAR(sales_data[[#This Row],[Date]]) &amp; "-" &amp; TEXT(MONTH(sales_data[[#This Row],[Date]]), "00")</f>
        <v>2024-04</v>
      </c>
      <c r="O730" s="1">
        <f xml:space="preserve"> (sales_data[[#This Row],[Sales]]* (100 - sales_data[[#This Row],[Discount]]))/100</f>
        <v>0</v>
      </c>
    </row>
    <row r="731" spans="1:15" x14ac:dyDescent="0.5">
      <c r="A731" s="1" t="s">
        <v>740</v>
      </c>
      <c r="B731" s="1" t="s">
        <v>22</v>
      </c>
      <c r="C731">
        <v>0</v>
      </c>
      <c r="D731">
        <v>0</v>
      </c>
      <c r="E731" s="2">
        <v>45400</v>
      </c>
      <c r="F731" s="1">
        <v>197</v>
      </c>
      <c r="G731" s="1">
        <v>23</v>
      </c>
      <c r="H731" s="1" t="s">
        <v>15</v>
      </c>
      <c r="I731" s="1" t="s">
        <v>33</v>
      </c>
      <c r="J731" s="1" t="s">
        <v>17</v>
      </c>
      <c r="K731" s="1" t="s">
        <v>25</v>
      </c>
      <c r="L731" s="5" t="s">
        <v>36</v>
      </c>
      <c r="M731" s="1" t="s">
        <v>31</v>
      </c>
      <c r="N731" s="1" t="str">
        <f>YEAR(sales_data[[#This Row],[Date]]) &amp; "-" &amp; TEXT(MONTH(sales_data[[#This Row],[Date]]), "00")</f>
        <v>2024-04</v>
      </c>
      <c r="O731" s="1">
        <f xml:space="preserve"> (sales_data[[#This Row],[Sales]]* (100 - sales_data[[#This Row],[Discount]]))/100</f>
        <v>0</v>
      </c>
    </row>
    <row r="732" spans="1:15" x14ac:dyDescent="0.5">
      <c r="A732" s="1" t="s">
        <v>1040</v>
      </c>
      <c r="B732" s="1" t="s">
        <v>29</v>
      </c>
      <c r="C732">
        <v>17560.4429592714</v>
      </c>
      <c r="D732">
        <v>15</v>
      </c>
      <c r="E732" s="2">
        <v>45400</v>
      </c>
      <c r="F732" s="1">
        <v>177</v>
      </c>
      <c r="G732" s="1">
        <v>22</v>
      </c>
      <c r="H732" s="1" t="s">
        <v>15</v>
      </c>
      <c r="I732" s="1" t="s">
        <v>33</v>
      </c>
      <c r="J732" s="1" t="s">
        <v>24</v>
      </c>
      <c r="K732" s="1" t="s">
        <v>18</v>
      </c>
      <c r="L732" s="5" t="s">
        <v>43</v>
      </c>
      <c r="M732" s="1" t="s">
        <v>55</v>
      </c>
      <c r="N732" s="1" t="str">
        <f>YEAR(sales_data[[#This Row],[Date]]) &amp; "-" &amp; TEXT(MONTH(sales_data[[#This Row],[Date]]), "00")</f>
        <v>2024-04</v>
      </c>
      <c r="O732" s="1">
        <f xml:space="preserve"> (sales_data[[#This Row],[Sales]]* (100 - sales_data[[#This Row],[Discount]]))/100</f>
        <v>14926.376515380691</v>
      </c>
    </row>
    <row r="733" spans="1:15" x14ac:dyDescent="0.5">
      <c r="A733" s="1" t="s">
        <v>247</v>
      </c>
      <c r="B733" s="1" t="s">
        <v>14</v>
      </c>
      <c r="C733">
        <v>24151.679082721199</v>
      </c>
      <c r="D733">
        <v>5</v>
      </c>
      <c r="E733" s="2">
        <v>45402</v>
      </c>
      <c r="F733" s="1">
        <v>187</v>
      </c>
      <c r="G733" s="1">
        <v>26</v>
      </c>
      <c r="H733" s="1" t="s">
        <v>15</v>
      </c>
      <c r="I733" s="1" t="s">
        <v>33</v>
      </c>
      <c r="J733" s="1" t="s">
        <v>34</v>
      </c>
      <c r="K733" s="1" t="s">
        <v>25</v>
      </c>
      <c r="L733" s="5" t="s">
        <v>38</v>
      </c>
      <c r="M733" s="1" t="s">
        <v>48</v>
      </c>
      <c r="N733" s="1" t="str">
        <f>YEAR(sales_data[[#This Row],[Date]]) &amp; "-" &amp; TEXT(MONTH(sales_data[[#This Row],[Date]]), "00")</f>
        <v>2024-04</v>
      </c>
      <c r="O733" s="1">
        <f xml:space="preserve"> (sales_data[[#This Row],[Sales]]* (100 - sales_data[[#This Row],[Discount]]))/100</f>
        <v>22944.095128585137</v>
      </c>
    </row>
    <row r="734" spans="1:15" x14ac:dyDescent="0.5">
      <c r="A734" s="1" t="s">
        <v>633</v>
      </c>
      <c r="B734" s="1" t="s">
        <v>22</v>
      </c>
      <c r="C734">
        <v>17769.082833926099</v>
      </c>
      <c r="D734">
        <v>15</v>
      </c>
      <c r="E734" s="2">
        <v>45402</v>
      </c>
      <c r="F734" s="1">
        <v>196</v>
      </c>
      <c r="G734" s="1">
        <v>4</v>
      </c>
      <c r="H734" s="1" t="s">
        <v>15</v>
      </c>
      <c r="I734" s="1" t="s">
        <v>33</v>
      </c>
      <c r="J734" s="1" t="s">
        <v>24</v>
      </c>
      <c r="K734" s="1" t="s">
        <v>35</v>
      </c>
      <c r="L734" s="5" t="s">
        <v>43</v>
      </c>
      <c r="M734" s="1" t="s">
        <v>20</v>
      </c>
      <c r="N734" s="1" t="str">
        <f>YEAR(sales_data[[#This Row],[Date]]) &amp; "-" &amp; TEXT(MONTH(sales_data[[#This Row],[Date]]), "00")</f>
        <v>2024-04</v>
      </c>
      <c r="O734" s="1">
        <f xml:space="preserve"> (sales_data[[#This Row],[Sales]]* (100 - sales_data[[#This Row],[Discount]]))/100</f>
        <v>15103.720408837184</v>
      </c>
    </row>
    <row r="735" spans="1:15" x14ac:dyDescent="0.5">
      <c r="A735" s="1" t="s">
        <v>715</v>
      </c>
      <c r="B735" s="1" t="s">
        <v>29</v>
      </c>
      <c r="C735">
        <v>19872.229645042698</v>
      </c>
      <c r="D735">
        <v>10</v>
      </c>
      <c r="E735" s="2">
        <v>45403</v>
      </c>
      <c r="F735" s="1">
        <v>156</v>
      </c>
      <c r="G735" s="1">
        <v>62</v>
      </c>
      <c r="H735" s="1" t="s">
        <v>15</v>
      </c>
      <c r="I735" s="1" t="s">
        <v>16</v>
      </c>
      <c r="J735" s="1" t="s">
        <v>24</v>
      </c>
      <c r="K735" s="1" t="s">
        <v>35</v>
      </c>
      <c r="L735" s="5" t="s">
        <v>85</v>
      </c>
      <c r="M735" s="1" t="s">
        <v>20</v>
      </c>
      <c r="N735" s="1" t="str">
        <f>YEAR(sales_data[[#This Row],[Date]]) &amp; "-" &amp; TEXT(MONTH(sales_data[[#This Row],[Date]]), "00")</f>
        <v>2024-04</v>
      </c>
      <c r="O735" s="1">
        <f xml:space="preserve"> (sales_data[[#This Row],[Sales]]* (100 - sales_data[[#This Row],[Discount]]))/100</f>
        <v>17885.006680538427</v>
      </c>
    </row>
    <row r="736" spans="1:15" x14ac:dyDescent="0.5">
      <c r="A736" s="1" t="s">
        <v>87</v>
      </c>
      <c r="B736" s="1" t="s">
        <v>50</v>
      </c>
      <c r="C736">
        <v>25292.1224342479</v>
      </c>
      <c r="D736">
        <v>0</v>
      </c>
      <c r="E736" s="2">
        <v>45404</v>
      </c>
      <c r="F736" s="1">
        <v>163</v>
      </c>
      <c r="G736" s="1">
        <v>81</v>
      </c>
      <c r="H736" s="1" t="s">
        <v>38</v>
      </c>
      <c r="I736" s="1" t="s">
        <v>16</v>
      </c>
      <c r="J736" s="1" t="s">
        <v>34</v>
      </c>
      <c r="K736" s="1" t="s">
        <v>18</v>
      </c>
      <c r="L736" s="5" t="s">
        <v>38</v>
      </c>
      <c r="M736" s="1" t="s">
        <v>48</v>
      </c>
      <c r="N736" s="1" t="str">
        <f>YEAR(sales_data[[#This Row],[Date]]) &amp; "-" &amp; TEXT(MONTH(sales_data[[#This Row],[Date]]), "00")</f>
        <v>2024-04</v>
      </c>
      <c r="O736" s="1">
        <f xml:space="preserve"> (sales_data[[#This Row],[Sales]]* (100 - sales_data[[#This Row],[Discount]]))/100</f>
        <v>25292.1224342479</v>
      </c>
    </row>
    <row r="737" spans="1:15" x14ac:dyDescent="0.5">
      <c r="A737" s="1" t="s">
        <v>453</v>
      </c>
      <c r="B737" s="1" t="s">
        <v>22</v>
      </c>
      <c r="C737">
        <v>14594.717297958599</v>
      </c>
      <c r="D737">
        <v>10</v>
      </c>
      <c r="E737" s="2">
        <v>45404</v>
      </c>
      <c r="F737" s="1">
        <v>113</v>
      </c>
      <c r="G737" s="1">
        <v>88</v>
      </c>
      <c r="H737" s="1" t="s">
        <v>38</v>
      </c>
      <c r="I737" s="1" t="s">
        <v>23</v>
      </c>
      <c r="J737" s="1" t="s">
        <v>34</v>
      </c>
      <c r="K737" s="1" t="s">
        <v>35</v>
      </c>
      <c r="L737" s="5" t="s">
        <v>36</v>
      </c>
      <c r="M737" s="1" t="s">
        <v>27</v>
      </c>
      <c r="N737" s="1" t="str">
        <f>YEAR(sales_data[[#This Row],[Date]]) &amp; "-" &amp; TEXT(MONTH(sales_data[[#This Row],[Date]]), "00")</f>
        <v>2024-04</v>
      </c>
      <c r="O737" s="1">
        <f xml:space="preserve"> (sales_data[[#This Row],[Sales]]* (100 - sales_data[[#This Row],[Discount]]))/100</f>
        <v>13135.245568162738</v>
      </c>
    </row>
    <row r="738" spans="1:15" x14ac:dyDescent="0.5">
      <c r="A738" s="1" t="s">
        <v>757</v>
      </c>
      <c r="B738" s="1" t="s">
        <v>29</v>
      </c>
      <c r="C738">
        <v>24581.6383735124</v>
      </c>
      <c r="D738">
        <v>15</v>
      </c>
      <c r="E738" s="2">
        <v>45404</v>
      </c>
      <c r="F738" s="1">
        <v>114</v>
      </c>
      <c r="G738" s="1">
        <v>79</v>
      </c>
      <c r="H738" s="1" t="s">
        <v>15</v>
      </c>
      <c r="I738" s="1" t="s">
        <v>33</v>
      </c>
      <c r="J738" s="1" t="s">
        <v>34</v>
      </c>
      <c r="K738" s="1" t="s">
        <v>35</v>
      </c>
      <c r="L738" s="5" t="s">
        <v>85</v>
      </c>
      <c r="M738" s="1" t="s">
        <v>20</v>
      </c>
      <c r="N738" s="1" t="str">
        <f>YEAR(sales_data[[#This Row],[Date]]) &amp; "-" &amp; TEXT(MONTH(sales_data[[#This Row],[Date]]), "00")</f>
        <v>2024-04</v>
      </c>
      <c r="O738" s="1">
        <f xml:space="preserve"> (sales_data[[#This Row],[Sales]]* (100 - sales_data[[#This Row],[Discount]]))/100</f>
        <v>20894.392617485541</v>
      </c>
    </row>
    <row r="739" spans="1:15" x14ac:dyDescent="0.5">
      <c r="A739" s="1" t="s">
        <v>779</v>
      </c>
      <c r="B739" s="1" t="s">
        <v>50</v>
      </c>
      <c r="C739">
        <v>25527.6296647899</v>
      </c>
      <c r="D739">
        <v>0</v>
      </c>
      <c r="E739" s="2">
        <v>45404</v>
      </c>
      <c r="F739" s="1">
        <v>164</v>
      </c>
      <c r="G739" s="1">
        <v>20</v>
      </c>
      <c r="H739" s="1" t="s">
        <v>38</v>
      </c>
      <c r="I739" s="1" t="s">
        <v>33</v>
      </c>
      <c r="J739" s="1" t="s">
        <v>17</v>
      </c>
      <c r="K739" s="1" t="s">
        <v>35</v>
      </c>
      <c r="L739" s="5" t="s">
        <v>54</v>
      </c>
      <c r="M739" s="1" t="s">
        <v>48</v>
      </c>
      <c r="N739" s="1" t="str">
        <f>YEAR(sales_data[[#This Row],[Date]]) &amp; "-" &amp; TEXT(MONTH(sales_data[[#This Row],[Date]]), "00")</f>
        <v>2024-04</v>
      </c>
      <c r="O739" s="1">
        <f xml:space="preserve"> (sales_data[[#This Row],[Sales]]* (100 - sales_data[[#This Row],[Discount]]))/100</f>
        <v>25527.6296647899</v>
      </c>
    </row>
    <row r="740" spans="1:15" x14ac:dyDescent="0.5">
      <c r="A740" s="1" t="s">
        <v>299</v>
      </c>
      <c r="B740" s="1" t="s">
        <v>29</v>
      </c>
      <c r="C740">
        <v>18321.076503549299</v>
      </c>
      <c r="D740">
        <v>0</v>
      </c>
      <c r="E740" s="2">
        <v>45405</v>
      </c>
      <c r="F740" s="1">
        <v>110</v>
      </c>
      <c r="G740" s="1">
        <v>45</v>
      </c>
      <c r="H740" s="1" t="s">
        <v>15</v>
      </c>
      <c r="I740" s="1" t="s">
        <v>16</v>
      </c>
      <c r="J740" s="1" t="s">
        <v>34</v>
      </c>
      <c r="K740" s="1" t="s">
        <v>18</v>
      </c>
      <c r="L740" s="5" t="s">
        <v>85</v>
      </c>
      <c r="M740" s="1" t="s">
        <v>41</v>
      </c>
      <c r="N740" s="1" t="str">
        <f>YEAR(sales_data[[#This Row],[Date]]) &amp; "-" &amp; TEXT(MONTH(sales_data[[#This Row],[Date]]), "00")</f>
        <v>2024-04</v>
      </c>
      <c r="O740" s="1">
        <f xml:space="preserve"> (sales_data[[#This Row],[Sales]]* (100 - sales_data[[#This Row],[Discount]]))/100</f>
        <v>18321.076503549299</v>
      </c>
    </row>
    <row r="741" spans="1:15" x14ac:dyDescent="0.5">
      <c r="A741" s="1" t="s">
        <v>979</v>
      </c>
      <c r="B741" s="1" t="s">
        <v>22</v>
      </c>
      <c r="C741">
        <v>20283.249624485499</v>
      </c>
      <c r="D741">
        <v>5</v>
      </c>
      <c r="E741" s="2">
        <v>45405</v>
      </c>
      <c r="F741" s="1">
        <v>167</v>
      </c>
      <c r="G741" s="1">
        <v>15</v>
      </c>
      <c r="H741" s="1" t="s">
        <v>15</v>
      </c>
      <c r="I741" s="1" t="s">
        <v>33</v>
      </c>
      <c r="J741" s="1" t="s">
        <v>34</v>
      </c>
      <c r="K741" s="1" t="s">
        <v>25</v>
      </c>
      <c r="L741" s="5" t="s">
        <v>30</v>
      </c>
      <c r="M741" s="1" t="s">
        <v>41</v>
      </c>
      <c r="N741" s="1" t="str">
        <f>YEAR(sales_data[[#This Row],[Date]]) &amp; "-" &amp; TEXT(MONTH(sales_data[[#This Row],[Date]]), "00")</f>
        <v>2024-04</v>
      </c>
      <c r="O741" s="1">
        <f xml:space="preserve"> (sales_data[[#This Row],[Sales]]* (100 - sales_data[[#This Row],[Discount]]))/100</f>
        <v>19269.087143261222</v>
      </c>
    </row>
    <row r="742" spans="1:15" x14ac:dyDescent="0.5">
      <c r="A742" s="1" t="s">
        <v>329</v>
      </c>
      <c r="B742" s="1" t="s">
        <v>50</v>
      </c>
      <c r="C742">
        <v>26230.425962488102</v>
      </c>
      <c r="D742">
        <v>10</v>
      </c>
      <c r="E742" s="2">
        <v>45406</v>
      </c>
      <c r="F742" s="1">
        <v>153</v>
      </c>
      <c r="G742" s="1">
        <v>27</v>
      </c>
      <c r="H742" s="1" t="s">
        <v>15</v>
      </c>
      <c r="I742" s="1" t="s">
        <v>33</v>
      </c>
      <c r="J742" s="1" t="s">
        <v>24</v>
      </c>
      <c r="K742" s="1" t="s">
        <v>25</v>
      </c>
      <c r="L742" s="5" t="s">
        <v>54</v>
      </c>
      <c r="M742" s="1" t="s">
        <v>48</v>
      </c>
      <c r="N742" s="1" t="str">
        <f>YEAR(sales_data[[#This Row],[Date]]) &amp; "-" &amp; TEXT(MONTH(sales_data[[#This Row],[Date]]), "00")</f>
        <v>2024-04</v>
      </c>
      <c r="O742" s="1">
        <f xml:space="preserve"> (sales_data[[#This Row],[Sales]]* (100 - sales_data[[#This Row],[Discount]]))/100</f>
        <v>23607.38336623929</v>
      </c>
    </row>
    <row r="743" spans="1:15" x14ac:dyDescent="0.5">
      <c r="A743" s="1" t="s">
        <v>967</v>
      </c>
      <c r="B743" s="1" t="s">
        <v>29</v>
      </c>
      <c r="C743">
        <v>25429.4778291578</v>
      </c>
      <c r="D743">
        <v>0</v>
      </c>
      <c r="E743" s="2">
        <v>45406</v>
      </c>
      <c r="F743" s="1">
        <v>177</v>
      </c>
      <c r="G743" s="1">
        <v>11</v>
      </c>
      <c r="H743" s="1" t="s">
        <v>15</v>
      </c>
      <c r="I743" s="1" t="s">
        <v>23</v>
      </c>
      <c r="J743" s="1" t="s">
        <v>24</v>
      </c>
      <c r="K743" s="1" t="s">
        <v>18</v>
      </c>
      <c r="L743" s="5" t="s">
        <v>85</v>
      </c>
      <c r="M743" s="1" t="s">
        <v>48</v>
      </c>
      <c r="N743" s="1" t="str">
        <f>YEAR(sales_data[[#This Row],[Date]]) &amp; "-" &amp; TEXT(MONTH(sales_data[[#This Row],[Date]]), "00")</f>
        <v>2024-04</v>
      </c>
      <c r="O743" s="1">
        <f xml:space="preserve"> (sales_data[[#This Row],[Sales]]* (100 - sales_data[[#This Row],[Discount]]))/100</f>
        <v>25429.477829157797</v>
      </c>
    </row>
    <row r="744" spans="1:15" x14ac:dyDescent="0.5">
      <c r="A744" s="1" t="s">
        <v>106</v>
      </c>
      <c r="B744" s="1" t="s">
        <v>14</v>
      </c>
      <c r="C744">
        <v>15300.601068363199</v>
      </c>
      <c r="D744">
        <v>0</v>
      </c>
      <c r="E744" s="2">
        <v>45407</v>
      </c>
      <c r="F744" s="1">
        <v>191</v>
      </c>
      <c r="G744" s="1">
        <v>81</v>
      </c>
      <c r="H744" s="1" t="s">
        <v>15</v>
      </c>
      <c r="I744" s="1" t="s">
        <v>33</v>
      </c>
      <c r="J744" s="1" t="s">
        <v>24</v>
      </c>
      <c r="K744" s="1" t="s">
        <v>25</v>
      </c>
      <c r="L744" s="5" t="s">
        <v>54</v>
      </c>
      <c r="M744" s="1" t="s">
        <v>44</v>
      </c>
      <c r="N744" s="1" t="str">
        <f>YEAR(sales_data[[#This Row],[Date]]) &amp; "-" &amp; TEXT(MONTH(sales_data[[#This Row],[Date]]), "00")</f>
        <v>2024-04</v>
      </c>
      <c r="O744" s="1">
        <f xml:space="preserve"> (sales_data[[#This Row],[Sales]]* (100 - sales_data[[#This Row],[Discount]]))/100</f>
        <v>15300.601068363199</v>
      </c>
    </row>
    <row r="745" spans="1:15" x14ac:dyDescent="0.5">
      <c r="A745" s="1" t="s">
        <v>222</v>
      </c>
      <c r="B745" s="1" t="s">
        <v>14</v>
      </c>
      <c r="C745">
        <v>18369.8823391607</v>
      </c>
      <c r="D745">
        <v>10</v>
      </c>
      <c r="E745" s="2">
        <v>45407</v>
      </c>
      <c r="F745" s="1">
        <v>128</v>
      </c>
      <c r="G745" s="1">
        <v>69</v>
      </c>
      <c r="H745" s="1" t="s">
        <v>15</v>
      </c>
      <c r="I745" s="1" t="s">
        <v>33</v>
      </c>
      <c r="J745" s="1" t="s">
        <v>17</v>
      </c>
      <c r="K745" s="1" t="s">
        <v>18</v>
      </c>
      <c r="L745" s="5" t="s">
        <v>30</v>
      </c>
      <c r="M745" s="1" t="s">
        <v>41</v>
      </c>
      <c r="N745" s="1" t="str">
        <f>YEAR(sales_data[[#This Row],[Date]]) &amp; "-" &amp; TEXT(MONTH(sales_data[[#This Row],[Date]]), "00")</f>
        <v>2024-04</v>
      </c>
      <c r="O745" s="1">
        <f xml:space="preserve"> (sales_data[[#This Row],[Sales]]* (100 - sales_data[[#This Row],[Discount]]))/100</f>
        <v>16532.894105244632</v>
      </c>
    </row>
    <row r="746" spans="1:15" x14ac:dyDescent="0.5">
      <c r="A746" s="1" t="s">
        <v>1004</v>
      </c>
      <c r="B746" s="1" t="s">
        <v>14</v>
      </c>
      <c r="C746">
        <v>12575.510157750399</v>
      </c>
      <c r="D746">
        <v>10</v>
      </c>
      <c r="E746" s="2">
        <v>45408</v>
      </c>
      <c r="F746" s="1">
        <v>194</v>
      </c>
      <c r="G746" s="1">
        <v>86</v>
      </c>
      <c r="H746" s="1" t="s">
        <v>15</v>
      </c>
      <c r="I746" s="1" t="s">
        <v>33</v>
      </c>
      <c r="J746" s="1" t="s">
        <v>34</v>
      </c>
      <c r="K746" s="1" t="s">
        <v>25</v>
      </c>
      <c r="L746" s="5" t="s">
        <v>85</v>
      </c>
      <c r="M746" s="1" t="s">
        <v>41</v>
      </c>
      <c r="N746" s="1" t="str">
        <f>YEAR(sales_data[[#This Row],[Date]]) &amp; "-" &amp; TEXT(MONTH(sales_data[[#This Row],[Date]]), "00")</f>
        <v>2024-04</v>
      </c>
      <c r="O746" s="1">
        <f xml:space="preserve"> (sales_data[[#This Row],[Sales]]* (100 - sales_data[[#This Row],[Discount]]))/100</f>
        <v>11317.95914197536</v>
      </c>
    </row>
    <row r="747" spans="1:15" x14ac:dyDescent="0.5">
      <c r="A747" s="1" t="s">
        <v>544</v>
      </c>
      <c r="B747" s="1" t="s">
        <v>22</v>
      </c>
      <c r="C747">
        <v>29233.5366286801</v>
      </c>
      <c r="D747">
        <v>5</v>
      </c>
      <c r="E747" s="2">
        <v>45409</v>
      </c>
      <c r="F747" s="1">
        <v>137</v>
      </c>
      <c r="G747" s="1">
        <v>64</v>
      </c>
      <c r="H747" s="1" t="s">
        <v>15</v>
      </c>
      <c r="I747" s="1" t="s">
        <v>16</v>
      </c>
      <c r="J747" s="1" t="s">
        <v>17</v>
      </c>
      <c r="K747" s="1" t="s">
        <v>18</v>
      </c>
      <c r="L747" s="5" t="s">
        <v>30</v>
      </c>
      <c r="M747" s="1" t="s">
        <v>27</v>
      </c>
      <c r="N747" s="1" t="str">
        <f>YEAR(sales_data[[#This Row],[Date]]) &amp; "-" &amp; TEXT(MONTH(sales_data[[#This Row],[Date]]), "00")</f>
        <v>2024-04</v>
      </c>
      <c r="O747" s="1">
        <f xml:space="preserve"> (sales_data[[#This Row],[Sales]]* (100 - sales_data[[#This Row],[Discount]]))/100</f>
        <v>27771.859797246092</v>
      </c>
    </row>
    <row r="748" spans="1:15" x14ac:dyDescent="0.5">
      <c r="A748" s="1" t="s">
        <v>870</v>
      </c>
      <c r="B748" s="1" t="s">
        <v>22</v>
      </c>
      <c r="C748">
        <v>16535.4740110204</v>
      </c>
      <c r="D748">
        <v>10</v>
      </c>
      <c r="E748" s="2">
        <v>45409</v>
      </c>
      <c r="F748" s="1">
        <v>164</v>
      </c>
      <c r="G748" s="1">
        <v>87</v>
      </c>
      <c r="H748" s="1" t="s">
        <v>15</v>
      </c>
      <c r="I748" s="1" t="s">
        <v>33</v>
      </c>
      <c r="J748" s="1" t="s">
        <v>24</v>
      </c>
      <c r="K748" s="1" t="s">
        <v>35</v>
      </c>
      <c r="L748" s="5" t="s">
        <v>36</v>
      </c>
      <c r="M748" s="1" t="s">
        <v>48</v>
      </c>
      <c r="N748" s="1" t="str">
        <f>YEAR(sales_data[[#This Row],[Date]]) &amp; "-" &amp; TEXT(MONTH(sales_data[[#This Row],[Date]]), "00")</f>
        <v>2024-04</v>
      </c>
      <c r="O748" s="1">
        <f xml:space="preserve"> (sales_data[[#This Row],[Sales]]* (100 - sales_data[[#This Row],[Discount]]))/100</f>
        <v>14881.926609918361</v>
      </c>
    </row>
    <row r="749" spans="1:15" x14ac:dyDescent="0.5">
      <c r="A749" s="1" t="s">
        <v>1011</v>
      </c>
      <c r="B749" s="1" t="s">
        <v>29</v>
      </c>
      <c r="C749">
        <v>22707.313641023899</v>
      </c>
      <c r="D749">
        <v>15</v>
      </c>
      <c r="E749" s="2">
        <v>45409</v>
      </c>
      <c r="F749" s="1">
        <v>169</v>
      </c>
      <c r="G749" s="1">
        <v>87</v>
      </c>
      <c r="H749" s="1" t="s">
        <v>15</v>
      </c>
      <c r="I749" s="1" t="s">
        <v>23</v>
      </c>
      <c r="J749" s="1" t="s">
        <v>24</v>
      </c>
      <c r="K749" s="1" t="s">
        <v>35</v>
      </c>
      <c r="L749" s="5" t="s">
        <v>26</v>
      </c>
      <c r="M749" s="1" t="s">
        <v>31</v>
      </c>
      <c r="N749" s="1" t="str">
        <f>YEAR(sales_data[[#This Row],[Date]]) &amp; "-" &amp; TEXT(MONTH(sales_data[[#This Row],[Date]]), "00")</f>
        <v>2024-04</v>
      </c>
      <c r="O749" s="1">
        <f xml:space="preserve"> (sales_data[[#This Row],[Sales]]* (100 - sales_data[[#This Row],[Discount]]))/100</f>
        <v>19301.216594870315</v>
      </c>
    </row>
    <row r="750" spans="1:15" x14ac:dyDescent="0.5">
      <c r="A750" s="1" t="s">
        <v>833</v>
      </c>
      <c r="B750" s="1" t="s">
        <v>22</v>
      </c>
      <c r="C750">
        <v>16230.1770556666</v>
      </c>
      <c r="D750">
        <v>10</v>
      </c>
      <c r="E750" s="2">
        <v>45412</v>
      </c>
      <c r="F750" s="1">
        <v>169</v>
      </c>
      <c r="G750" s="1">
        <v>20</v>
      </c>
      <c r="H750" s="1" t="s">
        <v>15</v>
      </c>
      <c r="I750" s="1" t="s">
        <v>33</v>
      </c>
      <c r="J750" s="1" t="s">
        <v>34</v>
      </c>
      <c r="K750" s="1" t="s">
        <v>35</v>
      </c>
      <c r="L750" s="5" t="s">
        <v>19</v>
      </c>
      <c r="M750" s="1" t="s">
        <v>20</v>
      </c>
      <c r="N750" s="1" t="str">
        <f>YEAR(sales_data[[#This Row],[Date]]) &amp; "-" &amp; TEXT(MONTH(sales_data[[#This Row],[Date]]), "00")</f>
        <v>2024-04</v>
      </c>
      <c r="O750" s="1">
        <f xml:space="preserve"> (sales_data[[#This Row],[Sales]]* (100 - sales_data[[#This Row],[Discount]]))/100</f>
        <v>14607.159350099941</v>
      </c>
    </row>
    <row r="751" spans="1:15" x14ac:dyDescent="0.5">
      <c r="A751" s="1" t="s">
        <v>906</v>
      </c>
      <c r="B751" s="1" t="s">
        <v>29</v>
      </c>
      <c r="C751">
        <v>16150.133844706699</v>
      </c>
      <c r="D751">
        <v>5</v>
      </c>
      <c r="E751" s="2">
        <v>45412</v>
      </c>
      <c r="F751" s="1">
        <v>153</v>
      </c>
      <c r="G751" s="1">
        <v>56</v>
      </c>
      <c r="H751" s="1" t="s">
        <v>15</v>
      </c>
      <c r="I751" s="1" t="s">
        <v>16</v>
      </c>
      <c r="J751" s="1" t="s">
        <v>24</v>
      </c>
      <c r="K751" s="1" t="s">
        <v>18</v>
      </c>
      <c r="L751" s="5" t="s">
        <v>30</v>
      </c>
      <c r="M751" s="1" t="s">
        <v>27</v>
      </c>
      <c r="N751" s="1" t="str">
        <f>YEAR(sales_data[[#This Row],[Date]]) &amp; "-" &amp; TEXT(MONTH(sales_data[[#This Row],[Date]]), "00")</f>
        <v>2024-04</v>
      </c>
      <c r="O751" s="1">
        <f xml:space="preserve"> (sales_data[[#This Row],[Sales]]* (100 - sales_data[[#This Row],[Discount]]))/100</f>
        <v>15342.627152471363</v>
      </c>
    </row>
    <row r="752" spans="1:15" x14ac:dyDescent="0.5">
      <c r="A752" s="1" t="s">
        <v>28</v>
      </c>
      <c r="B752" s="1" t="s">
        <v>29</v>
      </c>
      <c r="C752">
        <v>24752.1191909302</v>
      </c>
      <c r="D752">
        <v>15</v>
      </c>
      <c r="E752" s="2">
        <v>45413</v>
      </c>
      <c r="F752" s="1">
        <v>192</v>
      </c>
      <c r="G752" s="1">
        <v>85</v>
      </c>
      <c r="H752" s="1" t="s">
        <v>15</v>
      </c>
      <c r="I752" s="1" t="s">
        <v>23</v>
      </c>
      <c r="J752" s="1" t="s">
        <v>24</v>
      </c>
      <c r="K752" s="1" t="s">
        <v>18</v>
      </c>
      <c r="L752" s="5" t="s">
        <v>30</v>
      </c>
      <c r="M752" s="1" t="s">
        <v>31</v>
      </c>
      <c r="N752" s="1" t="str">
        <f>YEAR(sales_data[[#This Row],[Date]]) &amp; "-" &amp; TEXT(MONTH(sales_data[[#This Row],[Date]]), "00")</f>
        <v>2024-05</v>
      </c>
      <c r="O752" s="1">
        <f xml:space="preserve"> (sales_data[[#This Row],[Sales]]* (100 - sales_data[[#This Row],[Discount]]))/100</f>
        <v>21039.301312290667</v>
      </c>
    </row>
    <row r="753" spans="1:15" x14ac:dyDescent="0.5">
      <c r="A753" s="1" t="s">
        <v>326</v>
      </c>
      <c r="B753" s="1" t="s">
        <v>22</v>
      </c>
      <c r="C753">
        <v>27519.964942913401</v>
      </c>
      <c r="D753">
        <v>15</v>
      </c>
      <c r="E753" s="2">
        <v>45413</v>
      </c>
      <c r="F753" s="1">
        <v>190</v>
      </c>
      <c r="G753" s="1">
        <v>4</v>
      </c>
      <c r="H753" s="1" t="s">
        <v>15</v>
      </c>
      <c r="I753" s="1" t="s">
        <v>16</v>
      </c>
      <c r="J753" s="1" t="s">
        <v>34</v>
      </c>
      <c r="K753" s="1" t="s">
        <v>25</v>
      </c>
      <c r="L753" s="5" t="s">
        <v>26</v>
      </c>
      <c r="M753" s="1" t="s">
        <v>31</v>
      </c>
      <c r="N753" s="1" t="str">
        <f>YEAR(sales_data[[#This Row],[Date]]) &amp; "-" &amp; TEXT(MONTH(sales_data[[#This Row],[Date]]), "00")</f>
        <v>2024-05</v>
      </c>
      <c r="O753" s="1">
        <f xml:space="preserve"> (sales_data[[#This Row],[Sales]]* (100 - sales_data[[#This Row],[Discount]]))/100</f>
        <v>23391.97020147639</v>
      </c>
    </row>
    <row r="754" spans="1:15" x14ac:dyDescent="0.5">
      <c r="A754" s="1" t="s">
        <v>56</v>
      </c>
      <c r="B754" s="1" t="s">
        <v>14</v>
      </c>
      <c r="C754">
        <v>0</v>
      </c>
      <c r="D754">
        <v>15</v>
      </c>
      <c r="E754" s="2">
        <v>45414</v>
      </c>
      <c r="F754" s="1">
        <v>148</v>
      </c>
      <c r="G754" s="1">
        <v>34</v>
      </c>
      <c r="H754" s="1" t="s">
        <v>15</v>
      </c>
      <c r="I754" s="1" t="s">
        <v>16</v>
      </c>
      <c r="J754" s="1" t="s">
        <v>24</v>
      </c>
      <c r="K754" s="1" t="s">
        <v>35</v>
      </c>
      <c r="L754" s="5" t="s">
        <v>38</v>
      </c>
      <c r="M754" s="1" t="s">
        <v>31</v>
      </c>
      <c r="N754" s="1" t="str">
        <f>YEAR(sales_data[[#This Row],[Date]]) &amp; "-" &amp; TEXT(MONTH(sales_data[[#This Row],[Date]]), "00")</f>
        <v>2024-05</v>
      </c>
      <c r="O754" s="1">
        <f xml:space="preserve"> (sales_data[[#This Row],[Sales]]* (100 - sales_data[[#This Row],[Discount]]))/100</f>
        <v>0</v>
      </c>
    </row>
    <row r="755" spans="1:15" x14ac:dyDescent="0.5">
      <c r="A755" s="1" t="s">
        <v>202</v>
      </c>
      <c r="B755" s="1" t="s">
        <v>50</v>
      </c>
      <c r="C755">
        <v>0</v>
      </c>
      <c r="D755">
        <v>5</v>
      </c>
      <c r="E755" s="2">
        <v>45414</v>
      </c>
      <c r="F755" s="1">
        <v>147</v>
      </c>
      <c r="G755" s="1">
        <v>87</v>
      </c>
      <c r="H755" s="1" t="s">
        <v>15</v>
      </c>
      <c r="I755" s="1" t="s">
        <v>23</v>
      </c>
      <c r="J755" s="1" t="s">
        <v>34</v>
      </c>
      <c r="K755" s="1" t="s">
        <v>18</v>
      </c>
      <c r="L755" s="5" t="s">
        <v>43</v>
      </c>
      <c r="M755" s="1" t="s">
        <v>44</v>
      </c>
      <c r="N755" s="1" t="str">
        <f>YEAR(sales_data[[#This Row],[Date]]) &amp; "-" &amp; TEXT(MONTH(sales_data[[#This Row],[Date]]), "00")</f>
        <v>2024-05</v>
      </c>
      <c r="O755" s="1">
        <f xml:space="preserve"> (sales_data[[#This Row],[Sales]]* (100 - sales_data[[#This Row],[Discount]]))/100</f>
        <v>0</v>
      </c>
    </row>
    <row r="756" spans="1:15" x14ac:dyDescent="0.5">
      <c r="A756" s="1" t="s">
        <v>635</v>
      </c>
      <c r="B756" s="1" t="s">
        <v>29</v>
      </c>
      <c r="C756">
        <v>17738.468403754599</v>
      </c>
      <c r="D756">
        <v>5</v>
      </c>
      <c r="E756" s="2">
        <v>45414</v>
      </c>
      <c r="F756" s="1">
        <v>186</v>
      </c>
      <c r="G756" s="1">
        <v>75</v>
      </c>
      <c r="H756" s="1" t="s">
        <v>15</v>
      </c>
      <c r="I756" s="1" t="s">
        <v>33</v>
      </c>
      <c r="J756" s="1" t="s">
        <v>24</v>
      </c>
      <c r="K756" s="1" t="s">
        <v>25</v>
      </c>
      <c r="L756" s="5" t="s">
        <v>19</v>
      </c>
      <c r="M756" s="1" t="s">
        <v>44</v>
      </c>
      <c r="N756" s="1" t="str">
        <f>YEAR(sales_data[[#This Row],[Date]]) &amp; "-" &amp; TEXT(MONTH(sales_data[[#This Row],[Date]]), "00")</f>
        <v>2024-05</v>
      </c>
      <c r="O756" s="1">
        <f xml:space="preserve"> (sales_data[[#This Row],[Sales]]* (100 - sales_data[[#This Row],[Discount]]))/100</f>
        <v>16851.54498356687</v>
      </c>
    </row>
    <row r="757" spans="1:15" x14ac:dyDescent="0.5">
      <c r="A757" s="1" t="s">
        <v>766</v>
      </c>
      <c r="B757" s="1" t="s">
        <v>14</v>
      </c>
      <c r="C757">
        <v>14732.922184131699</v>
      </c>
      <c r="D757">
        <v>5</v>
      </c>
      <c r="E757" s="2">
        <v>45414</v>
      </c>
      <c r="F757" s="1">
        <v>125</v>
      </c>
      <c r="G757" s="1">
        <v>59</v>
      </c>
      <c r="H757" s="1" t="s">
        <v>15</v>
      </c>
      <c r="I757" s="1" t="s">
        <v>16</v>
      </c>
      <c r="J757" s="1" t="s">
        <v>34</v>
      </c>
      <c r="K757" s="1" t="s">
        <v>25</v>
      </c>
      <c r="L757" s="5" t="s">
        <v>30</v>
      </c>
      <c r="M757" s="1" t="s">
        <v>27</v>
      </c>
      <c r="N757" s="1" t="str">
        <f>YEAR(sales_data[[#This Row],[Date]]) &amp; "-" &amp; TEXT(MONTH(sales_data[[#This Row],[Date]]), "00")</f>
        <v>2024-05</v>
      </c>
      <c r="O757" s="1">
        <f xml:space="preserve"> (sales_data[[#This Row],[Sales]]* (100 - sales_data[[#This Row],[Discount]]))/100</f>
        <v>13996.276074925114</v>
      </c>
    </row>
    <row r="758" spans="1:15" x14ac:dyDescent="0.5">
      <c r="A758" s="1" t="s">
        <v>110</v>
      </c>
      <c r="B758" s="1" t="s">
        <v>50</v>
      </c>
      <c r="C758">
        <v>24775.7116025061</v>
      </c>
      <c r="D758">
        <v>5</v>
      </c>
      <c r="E758" s="2">
        <v>45415</v>
      </c>
      <c r="F758" s="1">
        <v>190</v>
      </c>
      <c r="G758" s="1">
        <v>32</v>
      </c>
      <c r="H758" s="1" t="s">
        <v>15</v>
      </c>
      <c r="I758" s="1" t="s">
        <v>23</v>
      </c>
      <c r="J758" s="1" t="s">
        <v>34</v>
      </c>
      <c r="K758" s="1" t="s">
        <v>35</v>
      </c>
      <c r="L758" s="5" t="s">
        <v>38</v>
      </c>
      <c r="M758" s="1" t="s">
        <v>48</v>
      </c>
      <c r="N758" s="1" t="str">
        <f>YEAR(sales_data[[#This Row],[Date]]) &amp; "-" &amp; TEXT(MONTH(sales_data[[#This Row],[Date]]), "00")</f>
        <v>2024-05</v>
      </c>
      <c r="O758" s="1">
        <f xml:space="preserve"> (sales_data[[#This Row],[Sales]]* (100 - sales_data[[#This Row],[Discount]]))/100</f>
        <v>23536.926022380794</v>
      </c>
    </row>
    <row r="759" spans="1:15" x14ac:dyDescent="0.5">
      <c r="A759" s="1" t="s">
        <v>314</v>
      </c>
      <c r="B759" s="1" t="s">
        <v>14</v>
      </c>
      <c r="C759">
        <v>20296.092170072399</v>
      </c>
      <c r="D759">
        <v>15</v>
      </c>
      <c r="E759" s="2">
        <v>45415</v>
      </c>
      <c r="F759" s="1">
        <v>185</v>
      </c>
      <c r="G759" s="1">
        <v>48</v>
      </c>
      <c r="H759" s="1" t="s">
        <v>38</v>
      </c>
      <c r="I759" s="1" t="s">
        <v>33</v>
      </c>
      <c r="J759" s="1" t="s">
        <v>24</v>
      </c>
      <c r="K759" s="1" t="s">
        <v>35</v>
      </c>
      <c r="L759" s="5" t="s">
        <v>54</v>
      </c>
      <c r="M759" s="1" t="s">
        <v>41</v>
      </c>
      <c r="N759" s="1" t="str">
        <f>YEAR(sales_data[[#This Row],[Date]]) &amp; "-" &amp; TEXT(MONTH(sales_data[[#This Row],[Date]]), "00")</f>
        <v>2024-05</v>
      </c>
      <c r="O759" s="1">
        <f xml:space="preserve"> (sales_data[[#This Row],[Sales]]* (100 - sales_data[[#This Row],[Discount]]))/100</f>
        <v>17251.67834456154</v>
      </c>
    </row>
    <row r="760" spans="1:15" x14ac:dyDescent="0.5">
      <c r="A760" s="1" t="s">
        <v>349</v>
      </c>
      <c r="B760" s="1" t="s">
        <v>40</v>
      </c>
      <c r="C760">
        <v>0</v>
      </c>
      <c r="D760">
        <v>5</v>
      </c>
      <c r="E760" s="2">
        <v>45416</v>
      </c>
      <c r="F760" s="1">
        <v>195</v>
      </c>
      <c r="G760" s="1">
        <v>48</v>
      </c>
      <c r="H760" s="1" t="s">
        <v>15</v>
      </c>
      <c r="I760" s="1" t="s">
        <v>33</v>
      </c>
      <c r="J760" s="1" t="s">
        <v>34</v>
      </c>
      <c r="K760" s="1" t="s">
        <v>18</v>
      </c>
      <c r="L760" s="5" t="s">
        <v>26</v>
      </c>
      <c r="M760" s="1" t="s">
        <v>44</v>
      </c>
      <c r="N760" s="1" t="str">
        <f>YEAR(sales_data[[#This Row],[Date]]) &amp; "-" &amp; TEXT(MONTH(sales_data[[#This Row],[Date]]), "00")</f>
        <v>2024-05</v>
      </c>
      <c r="O760" s="1">
        <f xml:space="preserve"> (sales_data[[#This Row],[Sales]]* (100 - sales_data[[#This Row],[Discount]]))/100</f>
        <v>0</v>
      </c>
    </row>
    <row r="761" spans="1:15" x14ac:dyDescent="0.5">
      <c r="A761" s="1" t="s">
        <v>398</v>
      </c>
      <c r="B761" s="1" t="s">
        <v>22</v>
      </c>
      <c r="C761">
        <v>25071.8503250906</v>
      </c>
      <c r="D761">
        <v>0</v>
      </c>
      <c r="E761" s="2">
        <v>45416</v>
      </c>
      <c r="F761" s="1">
        <v>142</v>
      </c>
      <c r="G761" s="1">
        <v>40</v>
      </c>
      <c r="H761" s="1" t="s">
        <v>38</v>
      </c>
      <c r="I761" s="1" t="s">
        <v>16</v>
      </c>
      <c r="J761" s="1" t="s">
        <v>34</v>
      </c>
      <c r="K761" s="1" t="s">
        <v>25</v>
      </c>
      <c r="L761" s="5" t="s">
        <v>46</v>
      </c>
      <c r="M761" s="1" t="s">
        <v>48</v>
      </c>
      <c r="N761" s="1" t="str">
        <f>YEAR(sales_data[[#This Row],[Date]]) &amp; "-" &amp; TEXT(MONTH(sales_data[[#This Row],[Date]]), "00")</f>
        <v>2024-05</v>
      </c>
      <c r="O761" s="1">
        <f xml:space="preserve"> (sales_data[[#This Row],[Sales]]* (100 - sales_data[[#This Row],[Discount]]))/100</f>
        <v>25071.8503250906</v>
      </c>
    </row>
    <row r="762" spans="1:15" x14ac:dyDescent="0.5">
      <c r="A762" s="1" t="s">
        <v>794</v>
      </c>
      <c r="B762" s="1" t="s">
        <v>50</v>
      </c>
      <c r="C762">
        <v>24820.4358414417</v>
      </c>
      <c r="D762">
        <v>15</v>
      </c>
      <c r="E762" s="2">
        <v>45416</v>
      </c>
      <c r="F762" s="1">
        <v>174</v>
      </c>
      <c r="G762" s="1">
        <v>13</v>
      </c>
      <c r="H762" s="1" t="s">
        <v>15</v>
      </c>
      <c r="I762" s="1" t="s">
        <v>33</v>
      </c>
      <c r="J762" s="1" t="s">
        <v>17</v>
      </c>
      <c r="K762" s="1" t="s">
        <v>35</v>
      </c>
      <c r="L762" s="5" t="s">
        <v>19</v>
      </c>
      <c r="M762" s="1" t="s">
        <v>55</v>
      </c>
      <c r="N762" s="1" t="str">
        <f>YEAR(sales_data[[#This Row],[Date]]) &amp; "-" &amp; TEXT(MONTH(sales_data[[#This Row],[Date]]), "00")</f>
        <v>2024-05</v>
      </c>
      <c r="O762" s="1">
        <f xml:space="preserve"> (sales_data[[#This Row],[Sales]]* (100 - sales_data[[#This Row],[Discount]]))/100</f>
        <v>21097.370465225446</v>
      </c>
    </row>
    <row r="763" spans="1:15" x14ac:dyDescent="0.5">
      <c r="A763" s="1" t="s">
        <v>716</v>
      </c>
      <c r="B763" s="1" t="s">
        <v>50</v>
      </c>
      <c r="C763">
        <v>25863.645096296801</v>
      </c>
      <c r="D763">
        <v>15</v>
      </c>
      <c r="E763" s="2">
        <v>45417</v>
      </c>
      <c r="F763" s="1">
        <v>111</v>
      </c>
      <c r="G763" s="1">
        <v>96</v>
      </c>
      <c r="H763" s="1" t="s">
        <v>15</v>
      </c>
      <c r="I763" s="1" t="s">
        <v>16</v>
      </c>
      <c r="J763" s="1" t="s">
        <v>24</v>
      </c>
      <c r="K763" s="1" t="s">
        <v>18</v>
      </c>
      <c r="L763" s="5" t="s">
        <v>26</v>
      </c>
      <c r="M763" s="1" t="s">
        <v>44</v>
      </c>
      <c r="N763" s="1" t="str">
        <f>YEAR(sales_data[[#This Row],[Date]]) &amp; "-" &amp; TEXT(MONTH(sales_data[[#This Row],[Date]]), "00")</f>
        <v>2024-05</v>
      </c>
      <c r="O763" s="1">
        <f xml:space="preserve"> (sales_data[[#This Row],[Sales]]* (100 - sales_data[[#This Row],[Discount]]))/100</f>
        <v>21984.098331852281</v>
      </c>
    </row>
    <row r="764" spans="1:15" x14ac:dyDescent="0.5">
      <c r="A764" s="1" t="s">
        <v>891</v>
      </c>
      <c r="B764" s="1" t="s">
        <v>50</v>
      </c>
      <c r="C764">
        <v>19558.589758243699</v>
      </c>
      <c r="D764">
        <v>15</v>
      </c>
      <c r="E764" s="2">
        <v>45417</v>
      </c>
      <c r="F764" s="1">
        <v>141</v>
      </c>
      <c r="G764" s="1">
        <v>14</v>
      </c>
      <c r="H764" s="1" t="s">
        <v>15</v>
      </c>
      <c r="I764" s="1" t="s">
        <v>23</v>
      </c>
      <c r="J764" s="1" t="s">
        <v>24</v>
      </c>
      <c r="K764" s="1" t="s">
        <v>25</v>
      </c>
      <c r="L764" s="5" t="s">
        <v>36</v>
      </c>
      <c r="M764" s="1" t="s">
        <v>41</v>
      </c>
      <c r="N764" s="1" t="str">
        <f>YEAR(sales_data[[#This Row],[Date]]) &amp; "-" &amp; TEXT(MONTH(sales_data[[#This Row],[Date]]), "00")</f>
        <v>2024-05</v>
      </c>
      <c r="O764" s="1">
        <f xml:space="preserve"> (sales_data[[#This Row],[Sales]]* (100 - sales_data[[#This Row],[Discount]]))/100</f>
        <v>16624.801294507146</v>
      </c>
    </row>
    <row r="765" spans="1:15" x14ac:dyDescent="0.5">
      <c r="A765" s="1" t="s">
        <v>130</v>
      </c>
      <c r="B765" s="1" t="s">
        <v>14</v>
      </c>
      <c r="C765">
        <v>8490.3941763220701</v>
      </c>
      <c r="D765">
        <v>0</v>
      </c>
      <c r="E765" s="2">
        <v>45418</v>
      </c>
      <c r="F765" s="1">
        <v>183</v>
      </c>
      <c r="G765" s="1">
        <v>49</v>
      </c>
      <c r="H765" s="1" t="s">
        <v>15</v>
      </c>
      <c r="I765" s="1" t="s">
        <v>33</v>
      </c>
      <c r="J765" s="1" t="s">
        <v>17</v>
      </c>
      <c r="K765" s="1" t="s">
        <v>35</v>
      </c>
      <c r="L765" s="5" t="s">
        <v>54</v>
      </c>
      <c r="M765" s="1" t="s">
        <v>44</v>
      </c>
      <c r="N765" s="1" t="str">
        <f>YEAR(sales_data[[#This Row],[Date]]) &amp; "-" &amp; TEXT(MONTH(sales_data[[#This Row],[Date]]), "00")</f>
        <v>2024-05</v>
      </c>
      <c r="O765" s="1">
        <f xml:space="preserve"> (sales_data[[#This Row],[Sales]]* (100 - sales_data[[#This Row],[Discount]]))/100</f>
        <v>8490.3941763220701</v>
      </c>
    </row>
    <row r="766" spans="1:15" x14ac:dyDescent="0.5">
      <c r="A766" s="1" t="s">
        <v>132</v>
      </c>
      <c r="B766" s="1" t="s">
        <v>29</v>
      </c>
      <c r="C766">
        <v>26834.371337222601</v>
      </c>
      <c r="D766">
        <v>15</v>
      </c>
      <c r="E766" s="2">
        <v>45418</v>
      </c>
      <c r="F766" s="1">
        <v>175</v>
      </c>
      <c r="G766" s="1">
        <v>83</v>
      </c>
      <c r="H766" s="1" t="s">
        <v>15</v>
      </c>
      <c r="I766" s="1" t="s">
        <v>33</v>
      </c>
      <c r="J766" s="1" t="s">
        <v>17</v>
      </c>
      <c r="K766" s="1" t="s">
        <v>25</v>
      </c>
      <c r="L766" s="5" t="s">
        <v>26</v>
      </c>
      <c r="M766" s="1" t="s">
        <v>44</v>
      </c>
      <c r="N766" s="1" t="str">
        <f>YEAR(sales_data[[#This Row],[Date]]) &amp; "-" &amp; TEXT(MONTH(sales_data[[#This Row],[Date]]), "00")</f>
        <v>2024-05</v>
      </c>
      <c r="O766" s="1">
        <f xml:space="preserve"> (sales_data[[#This Row],[Sales]]* (100 - sales_data[[#This Row],[Discount]]))/100</f>
        <v>22809.215636639212</v>
      </c>
    </row>
    <row r="767" spans="1:15" x14ac:dyDescent="0.5">
      <c r="A767" s="1" t="s">
        <v>161</v>
      </c>
      <c r="B767" s="1" t="s">
        <v>29</v>
      </c>
      <c r="C767">
        <v>13007.1621309042</v>
      </c>
      <c r="D767">
        <v>10</v>
      </c>
      <c r="E767" s="2">
        <v>45418</v>
      </c>
      <c r="F767" s="1">
        <v>139</v>
      </c>
      <c r="G767" s="1">
        <v>16</v>
      </c>
      <c r="H767" s="1" t="s">
        <v>15</v>
      </c>
      <c r="I767" s="1" t="s">
        <v>23</v>
      </c>
      <c r="J767" s="1" t="s">
        <v>24</v>
      </c>
      <c r="K767" s="1" t="s">
        <v>35</v>
      </c>
      <c r="L767" s="5" t="s">
        <v>54</v>
      </c>
      <c r="M767" s="1" t="s">
        <v>44</v>
      </c>
      <c r="N767" s="1" t="str">
        <f>YEAR(sales_data[[#This Row],[Date]]) &amp; "-" &amp; TEXT(MONTH(sales_data[[#This Row],[Date]]), "00")</f>
        <v>2024-05</v>
      </c>
      <c r="O767" s="1">
        <f xml:space="preserve"> (sales_data[[#This Row],[Sales]]* (100 - sales_data[[#This Row],[Discount]]))/100</f>
        <v>11706.44591781378</v>
      </c>
    </row>
    <row r="768" spans="1:15" x14ac:dyDescent="0.5">
      <c r="A768" s="1" t="s">
        <v>467</v>
      </c>
      <c r="B768" s="1" t="s">
        <v>50</v>
      </c>
      <c r="C768">
        <v>26278.7806278676</v>
      </c>
      <c r="D768">
        <v>10</v>
      </c>
      <c r="E768" s="2">
        <v>45418</v>
      </c>
      <c r="F768" s="1">
        <v>115</v>
      </c>
      <c r="G768" s="1">
        <v>85</v>
      </c>
      <c r="H768" s="1" t="s">
        <v>15</v>
      </c>
      <c r="I768" s="1" t="s">
        <v>23</v>
      </c>
      <c r="J768" s="1" t="s">
        <v>17</v>
      </c>
      <c r="K768" s="1" t="s">
        <v>35</v>
      </c>
      <c r="L768" s="5" t="s">
        <v>19</v>
      </c>
      <c r="M768" s="1" t="s">
        <v>44</v>
      </c>
      <c r="N768" s="1" t="str">
        <f>YEAR(sales_data[[#This Row],[Date]]) &amp; "-" &amp; TEXT(MONTH(sales_data[[#This Row],[Date]]), "00")</f>
        <v>2024-05</v>
      </c>
      <c r="O768" s="1">
        <f xml:space="preserve"> (sales_data[[#This Row],[Sales]]* (100 - sales_data[[#This Row],[Discount]]))/100</f>
        <v>23650.90256508084</v>
      </c>
    </row>
    <row r="769" spans="1:15" x14ac:dyDescent="0.5">
      <c r="A769" s="1" t="s">
        <v>947</v>
      </c>
      <c r="B769" s="1" t="s">
        <v>50</v>
      </c>
      <c r="C769">
        <v>14483.1669691306</v>
      </c>
      <c r="D769">
        <v>15</v>
      </c>
      <c r="E769" s="2">
        <v>45419</v>
      </c>
      <c r="F769" s="1">
        <v>140</v>
      </c>
      <c r="G769" s="1">
        <v>51</v>
      </c>
      <c r="H769" s="1" t="s">
        <v>15</v>
      </c>
      <c r="I769" s="1" t="s">
        <v>23</v>
      </c>
      <c r="J769" s="1" t="s">
        <v>17</v>
      </c>
      <c r="K769" s="1" t="s">
        <v>35</v>
      </c>
      <c r="L769" s="5" t="s">
        <v>36</v>
      </c>
      <c r="M769" s="1" t="s">
        <v>44</v>
      </c>
      <c r="N769" s="1" t="str">
        <f>YEAR(sales_data[[#This Row],[Date]]) &amp; "-" &amp; TEXT(MONTH(sales_data[[#This Row],[Date]]), "00")</f>
        <v>2024-05</v>
      </c>
      <c r="O769" s="1">
        <f xml:space="preserve"> (sales_data[[#This Row],[Sales]]* (100 - sales_data[[#This Row],[Discount]]))/100</f>
        <v>12310.691923761009</v>
      </c>
    </row>
    <row r="770" spans="1:15" x14ac:dyDescent="0.5">
      <c r="A770" s="1" t="s">
        <v>609</v>
      </c>
      <c r="B770" s="1" t="s">
        <v>22</v>
      </c>
      <c r="C770">
        <v>18793.8197107183</v>
      </c>
      <c r="D770">
        <v>0</v>
      </c>
      <c r="E770" s="2">
        <v>45420</v>
      </c>
      <c r="F770" s="1">
        <v>116</v>
      </c>
      <c r="G770" s="1">
        <v>79</v>
      </c>
      <c r="H770" s="1" t="s">
        <v>15</v>
      </c>
      <c r="I770" s="1" t="s">
        <v>33</v>
      </c>
      <c r="J770" s="1" t="s">
        <v>17</v>
      </c>
      <c r="K770" s="1" t="s">
        <v>25</v>
      </c>
      <c r="L770" s="5" t="s">
        <v>38</v>
      </c>
      <c r="M770" s="1" t="s">
        <v>44</v>
      </c>
      <c r="N770" s="1" t="str">
        <f>YEAR(sales_data[[#This Row],[Date]]) &amp; "-" &amp; TEXT(MONTH(sales_data[[#This Row],[Date]]), "00")</f>
        <v>2024-05</v>
      </c>
      <c r="O770" s="1">
        <f xml:space="preserve"> (sales_data[[#This Row],[Sales]]* (100 - sales_data[[#This Row],[Discount]]))/100</f>
        <v>18793.8197107183</v>
      </c>
    </row>
    <row r="771" spans="1:15" x14ac:dyDescent="0.5">
      <c r="A771" s="1" t="s">
        <v>761</v>
      </c>
      <c r="B771" s="1" t="s">
        <v>14</v>
      </c>
      <c r="C771">
        <v>30441.8735239036</v>
      </c>
      <c r="D771">
        <v>15</v>
      </c>
      <c r="E771" s="2">
        <v>45420</v>
      </c>
      <c r="F771" s="1">
        <v>116</v>
      </c>
      <c r="G771" s="1">
        <v>50</v>
      </c>
      <c r="H771" s="1" t="s">
        <v>15</v>
      </c>
      <c r="I771" s="1" t="s">
        <v>23</v>
      </c>
      <c r="J771" s="1" t="s">
        <v>17</v>
      </c>
      <c r="K771" s="1" t="s">
        <v>18</v>
      </c>
      <c r="L771" s="5" t="s">
        <v>38</v>
      </c>
      <c r="M771" s="1" t="s">
        <v>31</v>
      </c>
      <c r="N771" s="1" t="str">
        <f>YEAR(sales_data[[#This Row],[Date]]) &amp; "-" &amp; TEXT(MONTH(sales_data[[#This Row],[Date]]), "00")</f>
        <v>2024-05</v>
      </c>
      <c r="O771" s="1">
        <f xml:space="preserve"> (sales_data[[#This Row],[Sales]]* (100 - sales_data[[#This Row],[Discount]]))/100</f>
        <v>25875.592495318058</v>
      </c>
    </row>
    <row r="772" spans="1:15" x14ac:dyDescent="0.5">
      <c r="A772" s="1" t="s">
        <v>771</v>
      </c>
      <c r="B772" s="1" t="s">
        <v>14</v>
      </c>
      <c r="C772">
        <v>24350.338653443701</v>
      </c>
      <c r="D772">
        <v>15</v>
      </c>
      <c r="E772" s="2">
        <v>45420</v>
      </c>
      <c r="F772" s="1">
        <v>110</v>
      </c>
      <c r="G772" s="1">
        <v>2</v>
      </c>
      <c r="H772" s="1" t="s">
        <v>38</v>
      </c>
      <c r="I772" s="1" t="s">
        <v>33</v>
      </c>
      <c r="J772" s="1" t="s">
        <v>34</v>
      </c>
      <c r="K772" s="1" t="s">
        <v>25</v>
      </c>
      <c r="L772" s="5" t="s">
        <v>26</v>
      </c>
      <c r="M772" s="1" t="s">
        <v>55</v>
      </c>
      <c r="N772" s="1" t="str">
        <f>YEAR(sales_data[[#This Row],[Date]]) &amp; "-" &amp; TEXT(MONTH(sales_data[[#This Row],[Date]]), "00")</f>
        <v>2024-05</v>
      </c>
      <c r="O772" s="1">
        <f xml:space="preserve"> (sales_data[[#This Row],[Sales]]* (100 - sales_data[[#This Row],[Discount]]))/100</f>
        <v>20697.787855427145</v>
      </c>
    </row>
    <row r="773" spans="1:15" x14ac:dyDescent="0.5">
      <c r="A773" s="1" t="s">
        <v>1030</v>
      </c>
      <c r="B773" s="1" t="s">
        <v>50</v>
      </c>
      <c r="C773">
        <v>28558.5424007117</v>
      </c>
      <c r="D773">
        <v>10</v>
      </c>
      <c r="E773" s="2">
        <v>45420</v>
      </c>
      <c r="F773" s="1">
        <v>168</v>
      </c>
      <c r="G773" s="1">
        <v>17</v>
      </c>
      <c r="H773" s="1" t="s">
        <v>15</v>
      </c>
      <c r="I773" s="1" t="s">
        <v>23</v>
      </c>
      <c r="J773" s="1" t="s">
        <v>24</v>
      </c>
      <c r="K773" s="1" t="s">
        <v>35</v>
      </c>
      <c r="L773" s="5" t="s">
        <v>19</v>
      </c>
      <c r="M773" s="1" t="s">
        <v>44</v>
      </c>
      <c r="N773" s="1" t="str">
        <f>YEAR(sales_data[[#This Row],[Date]]) &amp; "-" &amp; TEXT(MONTH(sales_data[[#This Row],[Date]]), "00")</f>
        <v>2024-05</v>
      </c>
      <c r="O773" s="1">
        <f xml:space="preserve"> (sales_data[[#This Row],[Sales]]* (100 - sales_data[[#This Row],[Discount]]))/100</f>
        <v>25702.688160640533</v>
      </c>
    </row>
    <row r="774" spans="1:15" x14ac:dyDescent="0.5">
      <c r="A774" s="1" t="s">
        <v>21</v>
      </c>
      <c r="B774" s="1" t="s">
        <v>22</v>
      </c>
      <c r="C774">
        <v>29380.854196079399</v>
      </c>
      <c r="D774">
        <v>5</v>
      </c>
      <c r="E774" s="2">
        <v>45421</v>
      </c>
      <c r="F774" s="1">
        <v>156</v>
      </c>
      <c r="G774" s="1">
        <v>22</v>
      </c>
      <c r="H774" s="1" t="s">
        <v>15</v>
      </c>
      <c r="I774" s="1" t="s">
        <v>23</v>
      </c>
      <c r="J774" s="1" t="s">
        <v>24</v>
      </c>
      <c r="K774" s="1" t="s">
        <v>25</v>
      </c>
      <c r="L774" s="5" t="s">
        <v>26</v>
      </c>
      <c r="M774" s="1" t="s">
        <v>27</v>
      </c>
      <c r="N774" s="1" t="str">
        <f>YEAR(sales_data[[#This Row],[Date]]) &amp; "-" &amp; TEXT(MONTH(sales_data[[#This Row],[Date]]), "00")</f>
        <v>2024-05</v>
      </c>
      <c r="O774" s="1">
        <f xml:space="preserve"> (sales_data[[#This Row],[Sales]]* (100 - sales_data[[#This Row],[Discount]]))/100</f>
        <v>27911.81148627543</v>
      </c>
    </row>
    <row r="775" spans="1:15" x14ac:dyDescent="0.5">
      <c r="A775" s="1" t="s">
        <v>228</v>
      </c>
      <c r="B775" s="1" t="s">
        <v>14</v>
      </c>
      <c r="C775">
        <v>18242.4325797934</v>
      </c>
      <c r="D775">
        <v>15</v>
      </c>
      <c r="E775" s="2">
        <v>45421</v>
      </c>
      <c r="F775" s="1">
        <v>142</v>
      </c>
      <c r="G775" s="1">
        <v>90</v>
      </c>
      <c r="H775" s="1" t="s">
        <v>15</v>
      </c>
      <c r="I775" s="1" t="s">
        <v>33</v>
      </c>
      <c r="J775" s="1" t="s">
        <v>24</v>
      </c>
      <c r="K775" s="1" t="s">
        <v>35</v>
      </c>
      <c r="L775" s="5" t="s">
        <v>43</v>
      </c>
      <c r="M775" s="1" t="s">
        <v>27</v>
      </c>
      <c r="N775" s="1" t="str">
        <f>YEAR(sales_data[[#This Row],[Date]]) &amp; "-" &amp; TEXT(MONTH(sales_data[[#This Row],[Date]]), "00")</f>
        <v>2024-05</v>
      </c>
      <c r="O775" s="1">
        <f xml:space="preserve"> (sales_data[[#This Row],[Sales]]* (100 - sales_data[[#This Row],[Discount]]))/100</f>
        <v>15506.06769282439</v>
      </c>
    </row>
    <row r="776" spans="1:15" x14ac:dyDescent="0.5">
      <c r="A776" s="1" t="s">
        <v>617</v>
      </c>
      <c r="B776" s="1" t="s">
        <v>29</v>
      </c>
      <c r="C776">
        <v>22848.836401160999</v>
      </c>
      <c r="D776">
        <v>0</v>
      </c>
      <c r="E776" s="2">
        <v>45421</v>
      </c>
      <c r="F776" s="1">
        <v>198</v>
      </c>
      <c r="G776" s="1">
        <v>45</v>
      </c>
      <c r="H776" s="1" t="s">
        <v>15</v>
      </c>
      <c r="I776" s="1" t="s">
        <v>33</v>
      </c>
      <c r="J776" s="1" t="s">
        <v>34</v>
      </c>
      <c r="K776" s="1" t="s">
        <v>25</v>
      </c>
      <c r="L776" s="5" t="s">
        <v>54</v>
      </c>
      <c r="M776" s="1" t="s">
        <v>55</v>
      </c>
      <c r="N776" s="1" t="str">
        <f>YEAR(sales_data[[#This Row],[Date]]) &amp; "-" &amp; TEXT(MONTH(sales_data[[#This Row],[Date]]), "00")</f>
        <v>2024-05</v>
      </c>
      <c r="O776" s="1">
        <f xml:space="preserve"> (sales_data[[#This Row],[Sales]]* (100 - sales_data[[#This Row],[Discount]]))/100</f>
        <v>22848.836401160996</v>
      </c>
    </row>
    <row r="777" spans="1:15" x14ac:dyDescent="0.5">
      <c r="A777" s="1" t="s">
        <v>399</v>
      </c>
      <c r="B777" s="1" t="s">
        <v>22</v>
      </c>
      <c r="C777">
        <v>10795.628843341699</v>
      </c>
      <c r="D777">
        <v>15</v>
      </c>
      <c r="E777" s="2">
        <v>45422</v>
      </c>
      <c r="F777" s="1">
        <v>166</v>
      </c>
      <c r="G777" s="1">
        <v>36</v>
      </c>
      <c r="H777" s="1" t="s">
        <v>15</v>
      </c>
      <c r="I777" s="1" t="s">
        <v>23</v>
      </c>
      <c r="J777" s="1" t="s">
        <v>34</v>
      </c>
      <c r="K777" s="1" t="s">
        <v>35</v>
      </c>
      <c r="L777" s="5" t="s">
        <v>26</v>
      </c>
      <c r="M777" s="1" t="s">
        <v>44</v>
      </c>
      <c r="N777" s="1" t="str">
        <f>YEAR(sales_data[[#This Row],[Date]]) &amp; "-" &amp; TEXT(MONTH(sales_data[[#This Row],[Date]]), "00")</f>
        <v>2024-05</v>
      </c>
      <c r="O777" s="1">
        <f xml:space="preserve"> (sales_data[[#This Row],[Sales]]* (100 - sales_data[[#This Row],[Discount]]))/100</f>
        <v>9176.2845168404438</v>
      </c>
    </row>
    <row r="778" spans="1:15" x14ac:dyDescent="0.5">
      <c r="A778" s="1" t="s">
        <v>775</v>
      </c>
      <c r="B778" s="1" t="s">
        <v>14</v>
      </c>
      <c r="C778">
        <v>32017.077926191301</v>
      </c>
      <c r="D778">
        <v>10</v>
      </c>
      <c r="E778" s="2">
        <v>45424</v>
      </c>
      <c r="F778" s="1">
        <v>167</v>
      </c>
      <c r="G778" s="1">
        <v>54</v>
      </c>
      <c r="H778" s="1" t="s">
        <v>15</v>
      </c>
      <c r="I778" s="1" t="s">
        <v>16</v>
      </c>
      <c r="J778" s="1" t="s">
        <v>34</v>
      </c>
      <c r="K778" s="1" t="s">
        <v>25</v>
      </c>
      <c r="L778" s="5" t="s">
        <v>36</v>
      </c>
      <c r="M778" s="1" t="s">
        <v>44</v>
      </c>
      <c r="N778" s="1" t="str">
        <f>YEAR(sales_data[[#This Row],[Date]]) &amp; "-" &amp; TEXT(MONTH(sales_data[[#This Row],[Date]]), "00")</f>
        <v>2024-05</v>
      </c>
      <c r="O778" s="1">
        <f xml:space="preserve"> (sales_data[[#This Row],[Sales]]* (100 - sales_data[[#This Row],[Discount]]))/100</f>
        <v>28815.370133572171</v>
      </c>
    </row>
    <row r="779" spans="1:15" x14ac:dyDescent="0.5">
      <c r="A779" s="1" t="s">
        <v>366</v>
      </c>
      <c r="B779" s="1" t="s">
        <v>29</v>
      </c>
      <c r="C779">
        <v>28773.970909921802</v>
      </c>
      <c r="D779">
        <v>5</v>
      </c>
      <c r="E779" s="2">
        <v>45425</v>
      </c>
      <c r="F779" s="1">
        <v>190</v>
      </c>
      <c r="G779" s="1">
        <v>38</v>
      </c>
      <c r="H779" s="1" t="s">
        <v>15</v>
      </c>
      <c r="I779" s="1" t="s">
        <v>23</v>
      </c>
      <c r="J779" s="1" t="s">
        <v>34</v>
      </c>
      <c r="K779" s="1" t="s">
        <v>18</v>
      </c>
      <c r="L779" s="5" t="s">
        <v>30</v>
      </c>
      <c r="M779" s="1" t="s">
        <v>48</v>
      </c>
      <c r="N779" s="1" t="str">
        <f>YEAR(sales_data[[#This Row],[Date]]) &amp; "-" &amp; TEXT(MONTH(sales_data[[#This Row],[Date]]), "00")</f>
        <v>2024-05</v>
      </c>
      <c r="O779" s="1">
        <f xml:space="preserve"> (sales_data[[#This Row],[Sales]]* (100 - sales_data[[#This Row],[Discount]]))/100</f>
        <v>27335.272364425709</v>
      </c>
    </row>
    <row r="780" spans="1:15" x14ac:dyDescent="0.5">
      <c r="A780" s="1" t="s">
        <v>507</v>
      </c>
      <c r="B780" s="1" t="s">
        <v>50</v>
      </c>
      <c r="C780">
        <v>16811.300078743399</v>
      </c>
      <c r="D780">
        <v>15</v>
      </c>
      <c r="E780" s="2">
        <v>45428</v>
      </c>
      <c r="F780" s="1">
        <v>171</v>
      </c>
      <c r="G780" s="1">
        <v>78</v>
      </c>
      <c r="H780" s="1" t="s">
        <v>15</v>
      </c>
      <c r="I780" s="1" t="s">
        <v>23</v>
      </c>
      <c r="J780" s="1" t="s">
        <v>24</v>
      </c>
      <c r="K780" s="1" t="s">
        <v>35</v>
      </c>
      <c r="L780" s="5" t="s">
        <v>85</v>
      </c>
      <c r="M780" s="1" t="s">
        <v>31</v>
      </c>
      <c r="N780" s="1" t="str">
        <f>YEAR(sales_data[[#This Row],[Date]]) &amp; "-" &amp; TEXT(MONTH(sales_data[[#This Row],[Date]]), "00")</f>
        <v>2024-05</v>
      </c>
      <c r="O780" s="1">
        <f xml:space="preserve"> (sales_data[[#This Row],[Sales]]* (100 - sales_data[[#This Row],[Discount]]))/100</f>
        <v>14289.60506693189</v>
      </c>
    </row>
    <row r="781" spans="1:15" x14ac:dyDescent="0.5">
      <c r="A781" s="1" t="s">
        <v>572</v>
      </c>
      <c r="B781" s="1" t="s">
        <v>50</v>
      </c>
      <c r="C781">
        <v>27887.266398817301</v>
      </c>
      <c r="D781">
        <v>10</v>
      </c>
      <c r="E781" s="2">
        <v>45428</v>
      </c>
      <c r="F781" s="1">
        <v>169</v>
      </c>
      <c r="G781" s="1">
        <v>25</v>
      </c>
      <c r="H781" s="1" t="s">
        <v>15</v>
      </c>
      <c r="I781" s="1" t="s">
        <v>33</v>
      </c>
      <c r="J781" s="1" t="s">
        <v>34</v>
      </c>
      <c r="K781" s="1" t="s">
        <v>35</v>
      </c>
      <c r="L781" s="5" t="s">
        <v>26</v>
      </c>
      <c r="M781" s="1" t="s">
        <v>27</v>
      </c>
      <c r="N781" s="1" t="str">
        <f>YEAR(sales_data[[#This Row],[Date]]) &amp; "-" &amp; TEXT(MONTH(sales_data[[#This Row],[Date]]), "00")</f>
        <v>2024-05</v>
      </c>
      <c r="O781" s="1">
        <f xml:space="preserve"> (sales_data[[#This Row],[Sales]]* (100 - sales_data[[#This Row],[Discount]]))/100</f>
        <v>25098.539758935571</v>
      </c>
    </row>
    <row r="782" spans="1:15" x14ac:dyDescent="0.5">
      <c r="A782" s="1" t="s">
        <v>581</v>
      </c>
      <c r="B782" s="1" t="s">
        <v>22</v>
      </c>
      <c r="C782">
        <v>20664.8483707343</v>
      </c>
      <c r="D782">
        <v>0</v>
      </c>
      <c r="E782" s="2">
        <v>45428</v>
      </c>
      <c r="F782" s="1">
        <v>128</v>
      </c>
      <c r="G782" s="1">
        <v>41</v>
      </c>
      <c r="H782" s="1" t="s">
        <v>15</v>
      </c>
      <c r="I782" s="1" t="s">
        <v>23</v>
      </c>
      <c r="J782" s="1" t="s">
        <v>34</v>
      </c>
      <c r="K782" s="1" t="s">
        <v>25</v>
      </c>
      <c r="L782" s="5" t="s">
        <v>19</v>
      </c>
      <c r="M782" s="1" t="s">
        <v>20</v>
      </c>
      <c r="N782" s="1" t="str">
        <f>YEAR(sales_data[[#This Row],[Date]]) &amp; "-" &amp; TEXT(MONTH(sales_data[[#This Row],[Date]]), "00")</f>
        <v>2024-05</v>
      </c>
      <c r="O782" s="1">
        <f xml:space="preserve"> (sales_data[[#This Row],[Sales]]* (100 - sales_data[[#This Row],[Discount]]))/100</f>
        <v>20664.8483707343</v>
      </c>
    </row>
    <row r="783" spans="1:15" x14ac:dyDescent="0.5">
      <c r="A783" s="1" t="s">
        <v>307</v>
      </c>
      <c r="B783" s="1" t="s">
        <v>29</v>
      </c>
      <c r="C783">
        <v>18845.327348956602</v>
      </c>
      <c r="D783">
        <v>15</v>
      </c>
      <c r="E783" s="2">
        <v>45429</v>
      </c>
      <c r="F783" s="1">
        <v>197</v>
      </c>
      <c r="G783" s="1">
        <v>10</v>
      </c>
      <c r="H783" s="1" t="s">
        <v>15</v>
      </c>
      <c r="I783" s="1" t="s">
        <v>16</v>
      </c>
      <c r="J783" s="1" t="s">
        <v>34</v>
      </c>
      <c r="K783" s="1" t="s">
        <v>35</v>
      </c>
      <c r="L783" s="5" t="s">
        <v>58</v>
      </c>
      <c r="M783" s="1" t="s">
        <v>27</v>
      </c>
      <c r="N783" s="1" t="str">
        <f>YEAR(sales_data[[#This Row],[Date]]) &amp; "-" &amp; TEXT(MONTH(sales_data[[#This Row],[Date]]), "00")</f>
        <v>2024-05</v>
      </c>
      <c r="O783" s="1">
        <f xml:space="preserve"> (sales_data[[#This Row],[Sales]]* (100 - sales_data[[#This Row],[Discount]]))/100</f>
        <v>16018.528246613112</v>
      </c>
    </row>
    <row r="784" spans="1:15" x14ac:dyDescent="0.5">
      <c r="A784" s="1" t="s">
        <v>498</v>
      </c>
      <c r="B784" s="1" t="s">
        <v>50</v>
      </c>
      <c r="C784">
        <v>18930.0557788724</v>
      </c>
      <c r="D784">
        <v>15</v>
      </c>
      <c r="E784" s="2">
        <v>45430</v>
      </c>
      <c r="F784" s="1">
        <v>130</v>
      </c>
      <c r="G784" s="1">
        <v>6</v>
      </c>
      <c r="H784" s="1" t="s">
        <v>15</v>
      </c>
      <c r="I784" s="1" t="s">
        <v>23</v>
      </c>
      <c r="J784" s="1" t="s">
        <v>34</v>
      </c>
      <c r="K784" s="1" t="s">
        <v>35</v>
      </c>
      <c r="L784" s="5" t="s">
        <v>26</v>
      </c>
      <c r="M784" s="1" t="s">
        <v>20</v>
      </c>
      <c r="N784" s="1" t="str">
        <f>YEAR(sales_data[[#This Row],[Date]]) &amp; "-" &amp; TEXT(MONTH(sales_data[[#This Row],[Date]]), "00")</f>
        <v>2024-05</v>
      </c>
      <c r="O784" s="1">
        <f xml:space="preserve"> (sales_data[[#This Row],[Sales]]* (100 - sales_data[[#This Row],[Discount]]))/100</f>
        <v>16090.54741204154</v>
      </c>
    </row>
    <row r="785" spans="1:15" x14ac:dyDescent="0.5">
      <c r="A785" s="1" t="s">
        <v>621</v>
      </c>
      <c r="B785" s="1" t="s">
        <v>29</v>
      </c>
      <c r="C785">
        <v>20982.605848507301</v>
      </c>
      <c r="D785">
        <v>10</v>
      </c>
      <c r="E785" s="2">
        <v>45431</v>
      </c>
      <c r="F785" s="1">
        <v>112</v>
      </c>
      <c r="G785" s="1">
        <v>93</v>
      </c>
      <c r="H785" s="1" t="s">
        <v>15</v>
      </c>
      <c r="I785" s="1" t="s">
        <v>23</v>
      </c>
      <c r="J785" s="1" t="s">
        <v>34</v>
      </c>
      <c r="K785" s="1" t="s">
        <v>18</v>
      </c>
      <c r="L785" s="5" t="s">
        <v>58</v>
      </c>
      <c r="M785" s="1" t="s">
        <v>44</v>
      </c>
      <c r="N785" s="1" t="str">
        <f>YEAR(sales_data[[#This Row],[Date]]) &amp; "-" &amp; TEXT(MONTH(sales_data[[#This Row],[Date]]), "00")</f>
        <v>2024-05</v>
      </c>
      <c r="O785" s="1">
        <f xml:space="preserve"> (sales_data[[#This Row],[Sales]]* (100 - sales_data[[#This Row],[Discount]]))/100</f>
        <v>18884.345263656571</v>
      </c>
    </row>
    <row r="786" spans="1:15" x14ac:dyDescent="0.5">
      <c r="A786" s="1" t="s">
        <v>679</v>
      </c>
      <c r="B786" s="1" t="s">
        <v>50</v>
      </c>
      <c r="C786">
        <v>22614.177440177398</v>
      </c>
      <c r="D786">
        <v>0</v>
      </c>
      <c r="E786" s="2">
        <v>45431</v>
      </c>
      <c r="F786" s="1">
        <v>116</v>
      </c>
      <c r="G786" s="1">
        <v>21</v>
      </c>
      <c r="H786" s="1" t="s">
        <v>15</v>
      </c>
      <c r="I786" s="1" t="s">
        <v>16</v>
      </c>
      <c r="J786" s="1" t="s">
        <v>34</v>
      </c>
      <c r="K786" s="1" t="s">
        <v>25</v>
      </c>
      <c r="L786" s="5" t="s">
        <v>26</v>
      </c>
      <c r="M786" s="1" t="s">
        <v>55</v>
      </c>
      <c r="N786" s="1" t="str">
        <f>YEAR(sales_data[[#This Row],[Date]]) &amp; "-" &amp; TEXT(MONTH(sales_data[[#This Row],[Date]]), "00")</f>
        <v>2024-05</v>
      </c>
      <c r="O786" s="1">
        <f xml:space="preserve"> (sales_data[[#This Row],[Sales]]* (100 - sales_data[[#This Row],[Discount]]))/100</f>
        <v>22614.177440177398</v>
      </c>
    </row>
    <row r="787" spans="1:15" x14ac:dyDescent="0.5">
      <c r="A787" s="1" t="s">
        <v>525</v>
      </c>
      <c r="B787" s="1" t="s">
        <v>22</v>
      </c>
      <c r="C787">
        <v>21429.326953624499</v>
      </c>
      <c r="D787">
        <v>5</v>
      </c>
      <c r="E787" s="2">
        <v>45432</v>
      </c>
      <c r="F787" s="1">
        <v>107</v>
      </c>
      <c r="G787" s="1">
        <v>62</v>
      </c>
      <c r="H787" s="1" t="s">
        <v>15</v>
      </c>
      <c r="I787" s="1" t="s">
        <v>16</v>
      </c>
      <c r="J787" s="1" t="s">
        <v>34</v>
      </c>
      <c r="K787" s="1" t="s">
        <v>18</v>
      </c>
      <c r="L787" s="5" t="s">
        <v>26</v>
      </c>
      <c r="M787" s="1" t="s">
        <v>55</v>
      </c>
      <c r="N787" s="1" t="str">
        <f>YEAR(sales_data[[#This Row],[Date]]) &amp; "-" &amp; TEXT(MONTH(sales_data[[#This Row],[Date]]), "00")</f>
        <v>2024-05</v>
      </c>
      <c r="O787" s="1">
        <f xml:space="preserve"> (sales_data[[#This Row],[Sales]]* (100 - sales_data[[#This Row],[Discount]]))/100</f>
        <v>20357.860605943271</v>
      </c>
    </row>
    <row r="788" spans="1:15" x14ac:dyDescent="0.5">
      <c r="A788" s="1" t="s">
        <v>558</v>
      </c>
      <c r="B788" s="1" t="s">
        <v>50</v>
      </c>
      <c r="C788">
        <v>15915.321645063799</v>
      </c>
      <c r="D788">
        <v>0</v>
      </c>
      <c r="E788" s="2">
        <v>45432</v>
      </c>
      <c r="F788" s="1">
        <v>164</v>
      </c>
      <c r="G788" s="1">
        <v>58</v>
      </c>
      <c r="H788" s="1" t="s">
        <v>15</v>
      </c>
      <c r="I788" s="1" t="s">
        <v>33</v>
      </c>
      <c r="J788" s="1" t="s">
        <v>17</v>
      </c>
      <c r="K788" s="1" t="s">
        <v>25</v>
      </c>
      <c r="L788" s="5" t="s">
        <v>19</v>
      </c>
      <c r="M788" s="1" t="s">
        <v>27</v>
      </c>
      <c r="N788" s="1" t="str">
        <f>YEAR(sales_data[[#This Row],[Date]]) &amp; "-" &amp; TEXT(MONTH(sales_data[[#This Row],[Date]]), "00")</f>
        <v>2024-05</v>
      </c>
      <c r="O788" s="1">
        <f xml:space="preserve"> (sales_data[[#This Row],[Sales]]* (100 - sales_data[[#This Row],[Discount]]))/100</f>
        <v>15915.321645063799</v>
      </c>
    </row>
    <row r="789" spans="1:15" x14ac:dyDescent="0.5">
      <c r="A789" s="1" t="s">
        <v>753</v>
      </c>
      <c r="B789" s="1" t="s">
        <v>22</v>
      </c>
      <c r="C789">
        <v>23663.200386077799</v>
      </c>
      <c r="D789">
        <v>0</v>
      </c>
      <c r="E789" s="2">
        <v>45432</v>
      </c>
      <c r="F789" s="1">
        <v>195</v>
      </c>
      <c r="G789" s="1">
        <v>70</v>
      </c>
      <c r="H789" s="1" t="s">
        <v>15</v>
      </c>
      <c r="I789" s="1" t="s">
        <v>16</v>
      </c>
      <c r="J789" s="1" t="s">
        <v>34</v>
      </c>
      <c r="K789" s="1" t="s">
        <v>25</v>
      </c>
      <c r="L789" s="5" t="s">
        <v>36</v>
      </c>
      <c r="M789" s="1" t="s">
        <v>44</v>
      </c>
      <c r="N789" s="1" t="str">
        <f>YEAR(sales_data[[#This Row],[Date]]) &amp; "-" &amp; TEXT(MONTH(sales_data[[#This Row],[Date]]), "00")</f>
        <v>2024-05</v>
      </c>
      <c r="O789" s="1">
        <f xml:space="preserve"> (sales_data[[#This Row],[Sales]]* (100 - sales_data[[#This Row],[Discount]]))/100</f>
        <v>23663.200386077799</v>
      </c>
    </row>
    <row r="790" spans="1:15" x14ac:dyDescent="0.5">
      <c r="A790" s="1" t="s">
        <v>921</v>
      </c>
      <c r="B790" s="1" t="s">
        <v>50</v>
      </c>
      <c r="C790">
        <v>22693.779962231802</v>
      </c>
      <c r="D790">
        <v>0</v>
      </c>
      <c r="E790" s="2">
        <v>45432</v>
      </c>
      <c r="F790" s="1">
        <v>189</v>
      </c>
      <c r="G790" s="1">
        <v>43</v>
      </c>
      <c r="H790" s="1" t="s">
        <v>15</v>
      </c>
      <c r="I790" s="1" t="s">
        <v>23</v>
      </c>
      <c r="J790" s="1" t="s">
        <v>24</v>
      </c>
      <c r="K790" s="1" t="s">
        <v>35</v>
      </c>
      <c r="L790" s="5" t="s">
        <v>30</v>
      </c>
      <c r="M790" s="1" t="s">
        <v>44</v>
      </c>
      <c r="N790" s="1" t="str">
        <f>YEAR(sales_data[[#This Row],[Date]]) &amp; "-" &amp; TEXT(MONTH(sales_data[[#This Row],[Date]]), "00")</f>
        <v>2024-05</v>
      </c>
      <c r="O790" s="1">
        <f xml:space="preserve"> (sales_data[[#This Row],[Sales]]* (100 - sales_data[[#This Row],[Discount]]))/100</f>
        <v>22693.779962231802</v>
      </c>
    </row>
    <row r="791" spans="1:15" x14ac:dyDescent="0.5">
      <c r="A791" s="1" t="s">
        <v>556</v>
      </c>
      <c r="B791" s="1" t="s">
        <v>50</v>
      </c>
      <c r="C791">
        <v>20733.568432166601</v>
      </c>
      <c r="D791">
        <v>5</v>
      </c>
      <c r="E791" s="2">
        <v>45433</v>
      </c>
      <c r="F791" s="1">
        <v>127</v>
      </c>
      <c r="G791" s="1">
        <v>67</v>
      </c>
      <c r="H791" s="1" t="s">
        <v>15</v>
      </c>
      <c r="I791" s="1" t="s">
        <v>23</v>
      </c>
      <c r="J791" s="1" t="s">
        <v>34</v>
      </c>
      <c r="K791" s="1" t="s">
        <v>18</v>
      </c>
      <c r="L791" s="5" t="s">
        <v>85</v>
      </c>
      <c r="M791" s="1" t="s">
        <v>41</v>
      </c>
      <c r="N791" s="1" t="str">
        <f>YEAR(sales_data[[#This Row],[Date]]) &amp; "-" &amp; TEXT(MONTH(sales_data[[#This Row],[Date]]), "00")</f>
        <v>2024-05</v>
      </c>
      <c r="O791" s="1">
        <f xml:space="preserve"> (sales_data[[#This Row],[Sales]]* (100 - sales_data[[#This Row],[Discount]]))/100</f>
        <v>19696.890010558272</v>
      </c>
    </row>
    <row r="792" spans="1:15" x14ac:dyDescent="0.5">
      <c r="A792" s="1" t="s">
        <v>665</v>
      </c>
      <c r="B792" s="1" t="s">
        <v>22</v>
      </c>
      <c r="C792">
        <v>24475.966100138601</v>
      </c>
      <c r="D792">
        <v>0</v>
      </c>
      <c r="E792" s="2">
        <v>45433</v>
      </c>
      <c r="F792" s="1">
        <v>173</v>
      </c>
      <c r="G792" s="1">
        <v>29</v>
      </c>
      <c r="H792" s="1" t="s">
        <v>15</v>
      </c>
      <c r="I792" s="1" t="s">
        <v>33</v>
      </c>
      <c r="J792" s="1" t="s">
        <v>34</v>
      </c>
      <c r="K792" s="1" t="s">
        <v>25</v>
      </c>
      <c r="L792" s="5" t="s">
        <v>19</v>
      </c>
      <c r="M792" s="1" t="s">
        <v>48</v>
      </c>
      <c r="N792" s="1" t="str">
        <f>YEAR(sales_data[[#This Row],[Date]]) &amp; "-" &amp; TEXT(MONTH(sales_data[[#This Row],[Date]]), "00")</f>
        <v>2024-05</v>
      </c>
      <c r="O792" s="1">
        <f xml:space="preserve"> (sales_data[[#This Row],[Sales]]* (100 - sales_data[[#This Row],[Discount]]))/100</f>
        <v>24475.966100138601</v>
      </c>
    </row>
    <row r="793" spans="1:15" x14ac:dyDescent="0.5">
      <c r="A793" s="1" t="s">
        <v>545</v>
      </c>
      <c r="B793" s="1" t="s">
        <v>14</v>
      </c>
      <c r="C793">
        <v>22919.6409266298</v>
      </c>
      <c r="D793">
        <v>5</v>
      </c>
      <c r="E793" s="2">
        <v>45434</v>
      </c>
      <c r="F793" s="1">
        <v>180</v>
      </c>
      <c r="G793" s="1">
        <v>61</v>
      </c>
      <c r="H793" s="1" t="s">
        <v>38</v>
      </c>
      <c r="I793" s="1" t="s">
        <v>33</v>
      </c>
      <c r="J793" s="1" t="s">
        <v>24</v>
      </c>
      <c r="K793" s="1" t="s">
        <v>25</v>
      </c>
      <c r="L793" s="5" t="s">
        <v>36</v>
      </c>
      <c r="M793" s="1" t="s">
        <v>27</v>
      </c>
      <c r="N793" s="1" t="str">
        <f>YEAR(sales_data[[#This Row],[Date]]) &amp; "-" &amp; TEXT(MONTH(sales_data[[#This Row],[Date]]), "00")</f>
        <v>2024-05</v>
      </c>
      <c r="O793" s="1">
        <f xml:space="preserve"> (sales_data[[#This Row],[Sales]]* (100 - sales_data[[#This Row],[Discount]]))/100</f>
        <v>21773.65888029831</v>
      </c>
    </row>
    <row r="794" spans="1:15" x14ac:dyDescent="0.5">
      <c r="A794" s="1" t="s">
        <v>674</v>
      </c>
      <c r="B794" s="1" t="s">
        <v>14</v>
      </c>
      <c r="C794">
        <v>20989.553917313198</v>
      </c>
      <c r="D794">
        <v>10</v>
      </c>
      <c r="E794" s="2">
        <v>45434</v>
      </c>
      <c r="F794" s="1">
        <v>113</v>
      </c>
      <c r="G794" s="1">
        <v>17</v>
      </c>
      <c r="H794" s="1" t="s">
        <v>15</v>
      </c>
      <c r="I794" s="1" t="s">
        <v>23</v>
      </c>
      <c r="J794" s="1" t="s">
        <v>17</v>
      </c>
      <c r="K794" s="1" t="s">
        <v>35</v>
      </c>
      <c r="L794" s="5" t="s">
        <v>54</v>
      </c>
      <c r="M794" s="1" t="s">
        <v>31</v>
      </c>
      <c r="N794" s="1" t="str">
        <f>YEAR(sales_data[[#This Row],[Date]]) &amp; "-" &amp; TEXT(MONTH(sales_data[[#This Row],[Date]]), "00")</f>
        <v>2024-05</v>
      </c>
      <c r="O794" s="1">
        <f xml:space="preserve"> (sales_data[[#This Row],[Sales]]* (100 - sales_data[[#This Row],[Discount]]))/100</f>
        <v>18890.598525581878</v>
      </c>
    </row>
    <row r="795" spans="1:15" x14ac:dyDescent="0.5">
      <c r="A795" s="1" t="s">
        <v>430</v>
      </c>
      <c r="B795" s="1" t="s">
        <v>22</v>
      </c>
      <c r="C795">
        <v>17187.6661205286</v>
      </c>
      <c r="D795">
        <v>5</v>
      </c>
      <c r="E795" s="2">
        <v>45435</v>
      </c>
      <c r="F795" s="1">
        <v>136</v>
      </c>
      <c r="G795" s="1">
        <v>74</v>
      </c>
      <c r="H795" s="1" t="s">
        <v>38</v>
      </c>
      <c r="I795" s="1" t="s">
        <v>23</v>
      </c>
      <c r="J795" s="1" t="s">
        <v>17</v>
      </c>
      <c r="K795" s="1" t="s">
        <v>25</v>
      </c>
      <c r="L795" s="5" t="s">
        <v>30</v>
      </c>
      <c r="M795" s="1" t="s">
        <v>31</v>
      </c>
      <c r="N795" s="1" t="str">
        <f>YEAR(sales_data[[#This Row],[Date]]) &amp; "-" &amp; TEXT(MONTH(sales_data[[#This Row],[Date]]), "00")</f>
        <v>2024-05</v>
      </c>
      <c r="O795" s="1">
        <f xml:space="preserve"> (sales_data[[#This Row],[Sales]]* (100 - sales_data[[#This Row],[Discount]]))/100</f>
        <v>16328.282814502169</v>
      </c>
    </row>
    <row r="796" spans="1:15" x14ac:dyDescent="0.5">
      <c r="A796" s="1" t="s">
        <v>345</v>
      </c>
      <c r="B796" s="1" t="s">
        <v>29</v>
      </c>
      <c r="C796">
        <v>18798.373009209299</v>
      </c>
      <c r="D796">
        <v>15</v>
      </c>
      <c r="E796" s="2">
        <v>45436</v>
      </c>
      <c r="F796" s="1">
        <v>118</v>
      </c>
      <c r="G796" s="1">
        <v>63</v>
      </c>
      <c r="H796" s="1" t="s">
        <v>15</v>
      </c>
      <c r="I796" s="1" t="s">
        <v>33</v>
      </c>
      <c r="J796" s="1" t="s">
        <v>34</v>
      </c>
      <c r="K796" s="1" t="s">
        <v>25</v>
      </c>
      <c r="L796" s="5" t="s">
        <v>46</v>
      </c>
      <c r="M796" s="1" t="s">
        <v>48</v>
      </c>
      <c r="N796" s="1" t="str">
        <f>YEAR(sales_data[[#This Row],[Date]]) &amp; "-" &amp; TEXT(MONTH(sales_data[[#This Row],[Date]]), "00")</f>
        <v>2024-05</v>
      </c>
      <c r="O796" s="1">
        <f xml:space="preserve"> (sales_data[[#This Row],[Sales]]* (100 - sales_data[[#This Row],[Discount]]))/100</f>
        <v>15978.617057827905</v>
      </c>
    </row>
    <row r="797" spans="1:15" x14ac:dyDescent="0.5">
      <c r="A797" s="1" t="s">
        <v>455</v>
      </c>
      <c r="B797" s="1" t="s">
        <v>14</v>
      </c>
      <c r="C797">
        <v>19802.2242307167</v>
      </c>
      <c r="D797">
        <v>10</v>
      </c>
      <c r="E797" s="2">
        <v>45437</v>
      </c>
      <c r="F797" s="1">
        <v>176</v>
      </c>
      <c r="G797" s="1">
        <v>55</v>
      </c>
      <c r="H797" s="1" t="s">
        <v>15</v>
      </c>
      <c r="I797" s="1" t="s">
        <v>16</v>
      </c>
      <c r="J797" s="1" t="s">
        <v>34</v>
      </c>
      <c r="K797" s="1" t="s">
        <v>18</v>
      </c>
      <c r="L797" s="5" t="s">
        <v>26</v>
      </c>
      <c r="M797" s="1" t="s">
        <v>44</v>
      </c>
      <c r="N797" s="1" t="str">
        <f>YEAR(sales_data[[#This Row],[Date]]) &amp; "-" &amp; TEXT(MONTH(sales_data[[#This Row],[Date]]), "00")</f>
        <v>2024-05</v>
      </c>
      <c r="O797" s="1">
        <f xml:space="preserve"> (sales_data[[#This Row],[Sales]]* (100 - sales_data[[#This Row],[Discount]]))/100</f>
        <v>17822.001807645032</v>
      </c>
    </row>
    <row r="798" spans="1:15" x14ac:dyDescent="0.5">
      <c r="A798" s="1" t="s">
        <v>890</v>
      </c>
      <c r="B798" s="1" t="s">
        <v>29</v>
      </c>
      <c r="C798">
        <v>13150.9851021046</v>
      </c>
      <c r="D798">
        <v>10</v>
      </c>
      <c r="E798" s="2">
        <v>45437</v>
      </c>
      <c r="F798" s="1">
        <v>187</v>
      </c>
      <c r="G798" s="1">
        <v>46</v>
      </c>
      <c r="H798" s="1" t="s">
        <v>15</v>
      </c>
      <c r="I798" s="1" t="s">
        <v>33</v>
      </c>
      <c r="J798" s="1" t="s">
        <v>24</v>
      </c>
      <c r="K798" s="1" t="s">
        <v>18</v>
      </c>
      <c r="L798" s="5" t="s">
        <v>54</v>
      </c>
      <c r="M798" s="1" t="s">
        <v>27</v>
      </c>
      <c r="N798" s="1" t="str">
        <f>YEAR(sales_data[[#This Row],[Date]]) &amp; "-" &amp; TEXT(MONTH(sales_data[[#This Row],[Date]]), "00")</f>
        <v>2024-05</v>
      </c>
      <c r="O798" s="1">
        <f xml:space="preserve"> (sales_data[[#This Row],[Sales]]* (100 - sales_data[[#This Row],[Discount]]))/100</f>
        <v>11835.886591894139</v>
      </c>
    </row>
    <row r="799" spans="1:15" x14ac:dyDescent="0.5">
      <c r="A799" s="1" t="s">
        <v>383</v>
      </c>
      <c r="B799" s="1" t="s">
        <v>22</v>
      </c>
      <c r="C799">
        <v>20854.327190639699</v>
      </c>
      <c r="D799">
        <v>0</v>
      </c>
      <c r="E799" s="2">
        <v>45438</v>
      </c>
      <c r="F799" s="1">
        <v>118</v>
      </c>
      <c r="G799" s="1">
        <v>39</v>
      </c>
      <c r="H799" s="1" t="s">
        <v>15</v>
      </c>
      <c r="I799" s="1" t="s">
        <v>33</v>
      </c>
      <c r="J799" s="1" t="s">
        <v>34</v>
      </c>
      <c r="K799" s="1" t="s">
        <v>25</v>
      </c>
      <c r="L799" s="5" t="s">
        <v>38</v>
      </c>
      <c r="M799" s="1" t="s">
        <v>41</v>
      </c>
      <c r="N799" s="1" t="str">
        <f>YEAR(sales_data[[#This Row],[Date]]) &amp; "-" &amp; TEXT(MONTH(sales_data[[#This Row],[Date]]), "00")</f>
        <v>2024-05</v>
      </c>
      <c r="O799" s="1">
        <f xml:space="preserve"> (sales_data[[#This Row],[Sales]]* (100 - sales_data[[#This Row],[Discount]]))/100</f>
        <v>20854.327190639699</v>
      </c>
    </row>
    <row r="800" spans="1:15" x14ac:dyDescent="0.5">
      <c r="A800" s="1" t="s">
        <v>227</v>
      </c>
      <c r="B800" s="1" t="s">
        <v>50</v>
      </c>
      <c r="C800">
        <v>10646.040394870701</v>
      </c>
      <c r="D800">
        <v>0</v>
      </c>
      <c r="E800" s="2">
        <v>45439</v>
      </c>
      <c r="F800" s="1">
        <v>134</v>
      </c>
      <c r="G800" s="1">
        <v>82</v>
      </c>
      <c r="H800" s="1" t="s">
        <v>15</v>
      </c>
      <c r="I800" s="1" t="s">
        <v>23</v>
      </c>
      <c r="J800" s="1" t="s">
        <v>34</v>
      </c>
      <c r="K800" s="1" t="s">
        <v>18</v>
      </c>
      <c r="L800" s="5" t="s">
        <v>19</v>
      </c>
      <c r="M800" s="1" t="s">
        <v>27</v>
      </c>
      <c r="N800" s="1" t="str">
        <f>YEAR(sales_data[[#This Row],[Date]]) &amp; "-" &amp; TEXT(MONTH(sales_data[[#This Row],[Date]]), "00")</f>
        <v>2024-05</v>
      </c>
      <c r="O800" s="1">
        <f xml:space="preserve"> (sales_data[[#This Row],[Sales]]* (100 - sales_data[[#This Row],[Discount]]))/100</f>
        <v>10646.040394870703</v>
      </c>
    </row>
    <row r="801" spans="1:15" x14ac:dyDescent="0.5">
      <c r="A801" s="1" t="s">
        <v>199</v>
      </c>
      <c r="B801" s="1" t="s">
        <v>29</v>
      </c>
      <c r="C801">
        <v>24178.4605603257</v>
      </c>
      <c r="D801">
        <v>10</v>
      </c>
      <c r="E801" s="2">
        <v>45440</v>
      </c>
      <c r="F801" s="1">
        <v>162</v>
      </c>
      <c r="G801" s="1">
        <v>79</v>
      </c>
      <c r="H801" s="1" t="s">
        <v>15</v>
      </c>
      <c r="I801" s="1" t="s">
        <v>23</v>
      </c>
      <c r="J801" s="1" t="s">
        <v>17</v>
      </c>
      <c r="K801" s="1" t="s">
        <v>25</v>
      </c>
      <c r="L801" s="5" t="s">
        <v>38</v>
      </c>
      <c r="M801" s="1" t="s">
        <v>48</v>
      </c>
      <c r="N801" s="1" t="str">
        <f>YEAR(sales_data[[#This Row],[Date]]) &amp; "-" &amp; TEXT(MONTH(sales_data[[#This Row],[Date]]), "00")</f>
        <v>2024-05</v>
      </c>
      <c r="O801" s="1">
        <f xml:space="preserve"> (sales_data[[#This Row],[Sales]]* (100 - sales_data[[#This Row],[Discount]]))/100</f>
        <v>21760.614504293128</v>
      </c>
    </row>
    <row r="802" spans="1:15" x14ac:dyDescent="0.5">
      <c r="A802" s="1" t="s">
        <v>49</v>
      </c>
      <c r="B802" s="1" t="s">
        <v>50</v>
      </c>
      <c r="C802">
        <v>17654.121739476399</v>
      </c>
      <c r="D802">
        <v>5</v>
      </c>
      <c r="E802" s="2">
        <v>45441</v>
      </c>
      <c r="F802" s="1">
        <v>155</v>
      </c>
      <c r="G802" s="1">
        <v>42</v>
      </c>
      <c r="H802" s="1" t="s">
        <v>15</v>
      </c>
      <c r="I802" s="1" t="s">
        <v>16</v>
      </c>
      <c r="J802" s="1" t="s">
        <v>34</v>
      </c>
      <c r="K802" s="1" t="s">
        <v>35</v>
      </c>
      <c r="L802" s="5" t="s">
        <v>46</v>
      </c>
      <c r="M802" s="1" t="s">
        <v>27</v>
      </c>
      <c r="N802" s="1" t="str">
        <f>YEAR(sales_data[[#This Row],[Date]]) &amp; "-" &amp; TEXT(MONTH(sales_data[[#This Row],[Date]]), "00")</f>
        <v>2024-05</v>
      </c>
      <c r="O802" s="1">
        <f xml:space="preserve"> (sales_data[[#This Row],[Sales]]* (100 - sales_data[[#This Row],[Discount]]))/100</f>
        <v>16771.415652502579</v>
      </c>
    </row>
    <row r="803" spans="1:15" x14ac:dyDescent="0.5">
      <c r="A803" s="1" t="s">
        <v>317</v>
      </c>
      <c r="B803" s="1" t="s">
        <v>22</v>
      </c>
      <c r="C803">
        <v>20990.4238038392</v>
      </c>
      <c r="D803">
        <v>10</v>
      </c>
      <c r="E803" s="2">
        <v>45441</v>
      </c>
      <c r="F803" s="1">
        <v>136</v>
      </c>
      <c r="G803" s="1">
        <v>74</v>
      </c>
      <c r="H803" s="1" t="s">
        <v>15</v>
      </c>
      <c r="I803" s="1" t="s">
        <v>33</v>
      </c>
      <c r="J803" s="1" t="s">
        <v>24</v>
      </c>
      <c r="K803" s="1" t="s">
        <v>35</v>
      </c>
      <c r="L803" s="5" t="s">
        <v>36</v>
      </c>
      <c r="M803" s="1" t="s">
        <v>48</v>
      </c>
      <c r="N803" s="1" t="str">
        <f>YEAR(sales_data[[#This Row],[Date]]) &amp; "-" &amp; TEXT(MONTH(sales_data[[#This Row],[Date]]), "00")</f>
        <v>2024-05</v>
      </c>
      <c r="O803" s="1">
        <f xml:space="preserve"> (sales_data[[#This Row],[Sales]]* (100 - sales_data[[#This Row],[Discount]]))/100</f>
        <v>18891.381423455277</v>
      </c>
    </row>
    <row r="804" spans="1:15" x14ac:dyDescent="0.5">
      <c r="A804" s="1" t="s">
        <v>524</v>
      </c>
      <c r="B804" s="1" t="s">
        <v>22</v>
      </c>
      <c r="C804">
        <v>18061.492200320001</v>
      </c>
      <c r="D804">
        <v>10</v>
      </c>
      <c r="E804" s="2">
        <v>45441</v>
      </c>
      <c r="F804" s="1">
        <v>186</v>
      </c>
      <c r="G804" s="1">
        <v>33</v>
      </c>
      <c r="H804" s="1" t="s">
        <v>15</v>
      </c>
      <c r="I804" s="1" t="s">
        <v>16</v>
      </c>
      <c r="J804" s="1" t="s">
        <v>17</v>
      </c>
      <c r="K804" s="1" t="s">
        <v>35</v>
      </c>
      <c r="L804" s="5" t="s">
        <v>85</v>
      </c>
      <c r="M804" s="1" t="s">
        <v>48</v>
      </c>
      <c r="N804" s="1" t="str">
        <f>YEAR(sales_data[[#This Row],[Date]]) &amp; "-" &amp; TEXT(MONTH(sales_data[[#This Row],[Date]]), "00")</f>
        <v>2024-05</v>
      </c>
      <c r="O804" s="1">
        <f xml:space="preserve"> (sales_data[[#This Row],[Sales]]* (100 - sales_data[[#This Row],[Discount]]))/100</f>
        <v>16255.342980288002</v>
      </c>
    </row>
    <row r="805" spans="1:15" x14ac:dyDescent="0.5">
      <c r="A805" s="1" t="s">
        <v>422</v>
      </c>
      <c r="B805" s="1" t="s">
        <v>29</v>
      </c>
      <c r="C805">
        <v>19519.700501376701</v>
      </c>
      <c r="D805">
        <v>15</v>
      </c>
      <c r="E805" s="2">
        <v>45442</v>
      </c>
      <c r="F805" s="1">
        <v>106</v>
      </c>
      <c r="G805" s="1">
        <v>3</v>
      </c>
      <c r="H805" s="1" t="s">
        <v>15</v>
      </c>
      <c r="I805" s="1" t="s">
        <v>16</v>
      </c>
      <c r="J805" s="1" t="s">
        <v>34</v>
      </c>
      <c r="K805" s="1" t="s">
        <v>25</v>
      </c>
      <c r="L805" s="5" t="s">
        <v>43</v>
      </c>
      <c r="M805" s="1" t="s">
        <v>41</v>
      </c>
      <c r="N805" s="1" t="str">
        <f>YEAR(sales_data[[#This Row],[Date]]) &amp; "-" &amp; TEXT(MONTH(sales_data[[#This Row],[Date]]), "00")</f>
        <v>2024-05</v>
      </c>
      <c r="O805" s="1">
        <f xml:space="preserve"> (sales_data[[#This Row],[Sales]]* (100 - sales_data[[#This Row],[Discount]]))/100</f>
        <v>16591.745426170193</v>
      </c>
    </row>
    <row r="806" spans="1:15" x14ac:dyDescent="0.5">
      <c r="A806" s="1" t="s">
        <v>37</v>
      </c>
      <c r="B806" s="1" t="s">
        <v>14</v>
      </c>
      <c r="C806">
        <v>15507.926643258201</v>
      </c>
      <c r="D806">
        <v>0</v>
      </c>
      <c r="E806" s="2">
        <v>45443</v>
      </c>
      <c r="F806" s="1">
        <v>139</v>
      </c>
      <c r="G806" s="1">
        <v>21</v>
      </c>
      <c r="H806" s="1" t="s">
        <v>15</v>
      </c>
      <c r="I806" s="1" t="s">
        <v>23</v>
      </c>
      <c r="J806" s="1" t="s">
        <v>24</v>
      </c>
      <c r="K806" s="1" t="s">
        <v>18</v>
      </c>
      <c r="L806" s="5" t="s">
        <v>38</v>
      </c>
      <c r="M806" s="1" t="s">
        <v>27</v>
      </c>
      <c r="N806" s="1" t="str">
        <f>YEAR(sales_data[[#This Row],[Date]]) &amp; "-" &amp; TEXT(MONTH(sales_data[[#This Row],[Date]]), "00")</f>
        <v>2024-05</v>
      </c>
      <c r="O806" s="1">
        <f xml:space="preserve"> (sales_data[[#This Row],[Sales]]* (100 - sales_data[[#This Row],[Discount]]))/100</f>
        <v>15507.926643258201</v>
      </c>
    </row>
    <row r="807" spans="1:15" x14ac:dyDescent="0.5">
      <c r="A807" s="1" t="s">
        <v>487</v>
      </c>
      <c r="B807" s="1" t="s">
        <v>29</v>
      </c>
      <c r="C807">
        <v>17899.065914520699</v>
      </c>
      <c r="D807">
        <v>5</v>
      </c>
      <c r="E807" s="2">
        <v>45443</v>
      </c>
      <c r="F807" s="1">
        <v>116</v>
      </c>
      <c r="G807" s="1">
        <v>29</v>
      </c>
      <c r="H807" s="1" t="s">
        <v>15</v>
      </c>
      <c r="I807" s="1" t="s">
        <v>33</v>
      </c>
      <c r="J807" s="1" t="s">
        <v>24</v>
      </c>
      <c r="K807" s="1" t="s">
        <v>25</v>
      </c>
      <c r="L807" s="5" t="s">
        <v>36</v>
      </c>
      <c r="M807" s="1" t="s">
        <v>44</v>
      </c>
      <c r="N807" s="1" t="str">
        <f>YEAR(sales_data[[#This Row],[Date]]) &amp; "-" &amp; TEXT(MONTH(sales_data[[#This Row],[Date]]), "00")</f>
        <v>2024-05</v>
      </c>
      <c r="O807" s="1">
        <f xml:space="preserve"> (sales_data[[#This Row],[Sales]]* (100 - sales_data[[#This Row],[Discount]]))/100</f>
        <v>17004.112618794665</v>
      </c>
    </row>
    <row r="808" spans="1:15" x14ac:dyDescent="0.5">
      <c r="A808" s="1" t="s">
        <v>344</v>
      </c>
      <c r="B808" s="1" t="s">
        <v>22</v>
      </c>
      <c r="C808">
        <v>23564.992150861901</v>
      </c>
      <c r="D808">
        <v>15</v>
      </c>
      <c r="E808" s="2">
        <v>45444</v>
      </c>
      <c r="F808" s="1">
        <v>116</v>
      </c>
      <c r="G808" s="1">
        <v>47</v>
      </c>
      <c r="H808" s="1" t="s">
        <v>15</v>
      </c>
      <c r="I808" s="1" t="s">
        <v>16</v>
      </c>
      <c r="J808" s="1" t="s">
        <v>17</v>
      </c>
      <c r="K808" s="1" t="s">
        <v>25</v>
      </c>
      <c r="L808" s="5" t="s">
        <v>43</v>
      </c>
      <c r="M808" s="1" t="s">
        <v>31</v>
      </c>
      <c r="N808" s="1" t="str">
        <f>YEAR(sales_data[[#This Row],[Date]]) &amp; "-" &amp; TEXT(MONTH(sales_data[[#This Row],[Date]]), "00")</f>
        <v>2024-06</v>
      </c>
      <c r="O808" s="1">
        <f xml:space="preserve"> (sales_data[[#This Row],[Sales]]* (100 - sales_data[[#This Row],[Discount]]))/100</f>
        <v>20030.243328232616</v>
      </c>
    </row>
    <row r="809" spans="1:15" x14ac:dyDescent="0.5">
      <c r="A809" s="1" t="s">
        <v>166</v>
      </c>
      <c r="B809" s="1" t="s">
        <v>29</v>
      </c>
      <c r="C809">
        <v>15680.0461516009</v>
      </c>
      <c r="D809">
        <v>0</v>
      </c>
      <c r="E809" s="2">
        <v>45445</v>
      </c>
      <c r="F809" s="1">
        <v>134</v>
      </c>
      <c r="G809" s="1">
        <v>72</v>
      </c>
      <c r="H809" s="1" t="s">
        <v>15</v>
      </c>
      <c r="I809" s="1" t="s">
        <v>16</v>
      </c>
      <c r="J809" s="1" t="s">
        <v>34</v>
      </c>
      <c r="K809" s="1" t="s">
        <v>25</v>
      </c>
      <c r="L809" s="5" t="s">
        <v>58</v>
      </c>
      <c r="M809" s="1" t="s">
        <v>55</v>
      </c>
      <c r="N809" s="1" t="str">
        <f>YEAR(sales_data[[#This Row],[Date]]) &amp; "-" &amp; TEXT(MONTH(sales_data[[#This Row],[Date]]), "00")</f>
        <v>2024-06</v>
      </c>
      <c r="O809" s="1">
        <f xml:space="preserve"> (sales_data[[#This Row],[Sales]]* (100 - sales_data[[#This Row],[Discount]]))/100</f>
        <v>15680.0461516009</v>
      </c>
    </row>
    <row r="810" spans="1:15" x14ac:dyDescent="0.5">
      <c r="A810" s="1" t="s">
        <v>205</v>
      </c>
      <c r="B810" s="1" t="s">
        <v>14</v>
      </c>
      <c r="C810">
        <v>22885.3606359027</v>
      </c>
      <c r="D810">
        <v>5</v>
      </c>
      <c r="E810" s="2">
        <v>45447</v>
      </c>
      <c r="F810" s="1">
        <v>199</v>
      </c>
      <c r="G810" s="1">
        <v>93</v>
      </c>
      <c r="H810" s="1" t="s">
        <v>15</v>
      </c>
      <c r="I810" s="1" t="s">
        <v>33</v>
      </c>
      <c r="J810" s="1" t="s">
        <v>34</v>
      </c>
      <c r="K810" s="1" t="s">
        <v>25</v>
      </c>
      <c r="L810" s="5" t="s">
        <v>43</v>
      </c>
      <c r="M810" s="1" t="s">
        <v>41</v>
      </c>
      <c r="N810" s="1" t="str">
        <f>YEAR(sales_data[[#This Row],[Date]]) &amp; "-" &amp; TEXT(MONTH(sales_data[[#This Row],[Date]]), "00")</f>
        <v>2024-06</v>
      </c>
      <c r="O810" s="1">
        <f xml:space="preserve"> (sales_data[[#This Row],[Sales]]* (100 - sales_data[[#This Row],[Discount]]))/100</f>
        <v>21741.092604107562</v>
      </c>
    </row>
    <row r="811" spans="1:15" x14ac:dyDescent="0.5">
      <c r="A811" s="1" t="s">
        <v>269</v>
      </c>
      <c r="B811" s="1" t="s">
        <v>50</v>
      </c>
      <c r="C811">
        <v>23271.828281770198</v>
      </c>
      <c r="D811">
        <v>5</v>
      </c>
      <c r="E811" s="2">
        <v>45447</v>
      </c>
      <c r="F811" s="1">
        <v>105</v>
      </c>
      <c r="G811" s="1">
        <v>27</v>
      </c>
      <c r="H811" s="1" t="s">
        <v>15</v>
      </c>
      <c r="I811" s="1" t="s">
        <v>16</v>
      </c>
      <c r="J811" s="1" t="s">
        <v>34</v>
      </c>
      <c r="K811" s="1" t="s">
        <v>35</v>
      </c>
      <c r="L811" s="5" t="s">
        <v>58</v>
      </c>
      <c r="M811" s="1" t="s">
        <v>48</v>
      </c>
      <c r="N811" s="1" t="str">
        <f>YEAR(sales_data[[#This Row],[Date]]) &amp; "-" &amp; TEXT(MONTH(sales_data[[#This Row],[Date]]), "00")</f>
        <v>2024-06</v>
      </c>
      <c r="O811" s="1">
        <f xml:space="preserve"> (sales_data[[#This Row],[Sales]]* (100 - sales_data[[#This Row],[Discount]]))/100</f>
        <v>22108.236867681691</v>
      </c>
    </row>
    <row r="812" spans="1:15" x14ac:dyDescent="0.5">
      <c r="A812" s="1" t="s">
        <v>293</v>
      </c>
      <c r="B812" s="1" t="s">
        <v>29</v>
      </c>
      <c r="C812">
        <v>14939.4781236991</v>
      </c>
      <c r="D812">
        <v>15</v>
      </c>
      <c r="E812" s="2">
        <v>45447</v>
      </c>
      <c r="F812" s="1">
        <v>131</v>
      </c>
      <c r="G812" s="1">
        <v>22</v>
      </c>
      <c r="H812" s="1" t="s">
        <v>15</v>
      </c>
      <c r="I812" s="1" t="s">
        <v>23</v>
      </c>
      <c r="J812" s="1" t="s">
        <v>34</v>
      </c>
      <c r="K812" s="1" t="s">
        <v>25</v>
      </c>
      <c r="L812" s="5" t="s">
        <v>85</v>
      </c>
      <c r="M812" s="1" t="s">
        <v>20</v>
      </c>
      <c r="N812" s="1" t="str">
        <f>YEAR(sales_data[[#This Row],[Date]]) &amp; "-" &amp; TEXT(MONTH(sales_data[[#This Row],[Date]]), "00")</f>
        <v>2024-06</v>
      </c>
      <c r="O812" s="1">
        <f xml:space="preserve"> (sales_data[[#This Row],[Sales]]* (100 - sales_data[[#This Row],[Discount]]))/100</f>
        <v>12698.556405144236</v>
      </c>
    </row>
    <row r="813" spans="1:15" x14ac:dyDescent="0.5">
      <c r="A813" s="1" t="s">
        <v>534</v>
      </c>
      <c r="B813" s="1" t="s">
        <v>29</v>
      </c>
      <c r="C813">
        <v>28972.7893175889</v>
      </c>
      <c r="D813">
        <v>5</v>
      </c>
      <c r="E813" s="2">
        <v>45448</v>
      </c>
      <c r="F813" s="1">
        <v>175</v>
      </c>
      <c r="G813" s="1">
        <v>50</v>
      </c>
      <c r="H813" s="1" t="s">
        <v>15</v>
      </c>
      <c r="I813" s="1" t="s">
        <v>16</v>
      </c>
      <c r="J813" s="1" t="s">
        <v>34</v>
      </c>
      <c r="K813" s="1" t="s">
        <v>25</v>
      </c>
      <c r="L813" s="5" t="s">
        <v>26</v>
      </c>
      <c r="M813" s="1" t="s">
        <v>27</v>
      </c>
      <c r="N813" s="1" t="str">
        <f>YEAR(sales_data[[#This Row],[Date]]) &amp; "-" &amp; TEXT(MONTH(sales_data[[#This Row],[Date]]), "00")</f>
        <v>2024-06</v>
      </c>
      <c r="O813" s="1">
        <f xml:space="preserve"> (sales_data[[#This Row],[Sales]]* (100 - sales_data[[#This Row],[Discount]]))/100</f>
        <v>27524.149851709455</v>
      </c>
    </row>
    <row r="814" spans="1:15" x14ac:dyDescent="0.5">
      <c r="A814" s="1" t="s">
        <v>714</v>
      </c>
      <c r="B814" s="1" t="s">
        <v>14</v>
      </c>
      <c r="C814">
        <v>16641.883160309699</v>
      </c>
      <c r="D814">
        <v>15</v>
      </c>
      <c r="E814" s="2">
        <v>45449</v>
      </c>
      <c r="F814" s="1">
        <v>106</v>
      </c>
      <c r="G814" s="1">
        <v>18</v>
      </c>
      <c r="H814" s="1" t="s">
        <v>15</v>
      </c>
      <c r="I814" s="1" t="s">
        <v>16</v>
      </c>
      <c r="J814" s="1" t="s">
        <v>24</v>
      </c>
      <c r="K814" s="1" t="s">
        <v>35</v>
      </c>
      <c r="L814" s="5" t="s">
        <v>85</v>
      </c>
      <c r="M814" s="1" t="s">
        <v>55</v>
      </c>
      <c r="N814" s="1" t="str">
        <f>YEAR(sales_data[[#This Row],[Date]]) &amp; "-" &amp; TEXT(MONTH(sales_data[[#This Row],[Date]]), "00")</f>
        <v>2024-06</v>
      </c>
      <c r="O814" s="1">
        <f xml:space="preserve"> (sales_data[[#This Row],[Sales]]* (100 - sales_data[[#This Row],[Discount]]))/100</f>
        <v>14145.600686263244</v>
      </c>
    </row>
    <row r="815" spans="1:15" x14ac:dyDescent="0.5">
      <c r="A815" s="1" t="s">
        <v>303</v>
      </c>
      <c r="B815" s="1" t="s">
        <v>22</v>
      </c>
      <c r="C815">
        <v>18771.284679570199</v>
      </c>
      <c r="D815">
        <v>0</v>
      </c>
      <c r="E815" s="2">
        <v>45450</v>
      </c>
      <c r="F815" s="1">
        <v>162</v>
      </c>
      <c r="G815" s="1">
        <v>9</v>
      </c>
      <c r="H815" s="1" t="s">
        <v>15</v>
      </c>
      <c r="I815" s="1" t="s">
        <v>23</v>
      </c>
      <c r="J815" s="1" t="s">
        <v>17</v>
      </c>
      <c r="K815" s="1" t="s">
        <v>18</v>
      </c>
      <c r="L815" s="5" t="s">
        <v>19</v>
      </c>
      <c r="M815" s="1" t="s">
        <v>44</v>
      </c>
      <c r="N815" s="1" t="str">
        <f>YEAR(sales_data[[#This Row],[Date]]) &amp; "-" &amp; TEXT(MONTH(sales_data[[#This Row],[Date]]), "00")</f>
        <v>2024-06</v>
      </c>
      <c r="O815" s="1">
        <f xml:space="preserve"> (sales_data[[#This Row],[Sales]]* (100 - sales_data[[#This Row],[Discount]]))/100</f>
        <v>18771.284679570199</v>
      </c>
    </row>
    <row r="816" spans="1:15" x14ac:dyDescent="0.5">
      <c r="A816" s="1" t="s">
        <v>183</v>
      </c>
      <c r="B816" s="1" t="s">
        <v>14</v>
      </c>
      <c r="C816">
        <v>16183.704217287401</v>
      </c>
      <c r="D816">
        <v>10</v>
      </c>
      <c r="E816" s="2">
        <v>45453</v>
      </c>
      <c r="F816" s="1">
        <v>117</v>
      </c>
      <c r="G816" s="1">
        <v>33</v>
      </c>
      <c r="H816" s="1" t="s">
        <v>15</v>
      </c>
      <c r="I816" s="1" t="s">
        <v>33</v>
      </c>
      <c r="J816" s="1" t="s">
        <v>34</v>
      </c>
      <c r="K816" s="1" t="s">
        <v>35</v>
      </c>
      <c r="L816" s="5" t="s">
        <v>30</v>
      </c>
      <c r="M816" s="1" t="s">
        <v>44</v>
      </c>
      <c r="N816" s="1" t="str">
        <f>YEAR(sales_data[[#This Row],[Date]]) &amp; "-" &amp; TEXT(MONTH(sales_data[[#This Row],[Date]]), "00")</f>
        <v>2024-06</v>
      </c>
      <c r="O816" s="1">
        <f xml:space="preserve"> (sales_data[[#This Row],[Sales]]* (100 - sales_data[[#This Row],[Discount]]))/100</f>
        <v>14565.333795558661</v>
      </c>
    </row>
    <row r="817" spans="1:15" x14ac:dyDescent="0.5">
      <c r="A817" s="1" t="s">
        <v>381</v>
      </c>
      <c r="B817" s="1" t="s">
        <v>29</v>
      </c>
      <c r="C817">
        <v>13259.072889471399</v>
      </c>
      <c r="D817">
        <v>15</v>
      </c>
      <c r="E817" s="2">
        <v>45453</v>
      </c>
      <c r="F817" s="1">
        <v>195</v>
      </c>
      <c r="G817" s="1">
        <v>6</v>
      </c>
      <c r="H817" s="1" t="s">
        <v>15</v>
      </c>
      <c r="I817" s="1" t="s">
        <v>33</v>
      </c>
      <c r="J817" s="1" t="s">
        <v>17</v>
      </c>
      <c r="K817" s="1" t="s">
        <v>25</v>
      </c>
      <c r="L817" s="5" t="s">
        <v>36</v>
      </c>
      <c r="M817" s="1" t="s">
        <v>44</v>
      </c>
      <c r="N817" s="1" t="str">
        <f>YEAR(sales_data[[#This Row],[Date]]) &amp; "-" &amp; TEXT(MONTH(sales_data[[#This Row],[Date]]), "00")</f>
        <v>2024-06</v>
      </c>
      <c r="O817" s="1">
        <f xml:space="preserve"> (sales_data[[#This Row],[Sales]]* (100 - sales_data[[#This Row],[Discount]]))/100</f>
        <v>11270.211956050689</v>
      </c>
    </row>
    <row r="818" spans="1:15" x14ac:dyDescent="0.5">
      <c r="A818" s="1" t="s">
        <v>492</v>
      </c>
      <c r="B818" s="1" t="s">
        <v>50</v>
      </c>
      <c r="C818">
        <v>16161.0121744793</v>
      </c>
      <c r="D818">
        <v>0</v>
      </c>
      <c r="E818" s="2">
        <v>45453</v>
      </c>
      <c r="F818" s="1">
        <v>118</v>
      </c>
      <c r="G818" s="1">
        <v>46</v>
      </c>
      <c r="H818" s="1" t="s">
        <v>15</v>
      </c>
      <c r="I818" s="1" t="s">
        <v>16</v>
      </c>
      <c r="J818" s="1" t="s">
        <v>24</v>
      </c>
      <c r="K818" s="1" t="s">
        <v>35</v>
      </c>
      <c r="L818" s="5" t="s">
        <v>54</v>
      </c>
      <c r="M818" s="1" t="s">
        <v>55</v>
      </c>
      <c r="N818" s="1" t="str">
        <f>YEAR(sales_data[[#This Row],[Date]]) &amp; "-" &amp; TEXT(MONTH(sales_data[[#This Row],[Date]]), "00")</f>
        <v>2024-06</v>
      </c>
      <c r="O818" s="1">
        <f xml:space="preserve"> (sales_data[[#This Row],[Sales]]* (100 - sales_data[[#This Row],[Discount]]))/100</f>
        <v>16161.0121744793</v>
      </c>
    </row>
    <row r="819" spans="1:15" x14ac:dyDescent="0.5">
      <c r="A819" s="1" t="s">
        <v>769</v>
      </c>
      <c r="B819" s="1" t="s">
        <v>29</v>
      </c>
      <c r="C819">
        <v>19046.5879961832</v>
      </c>
      <c r="D819">
        <v>10</v>
      </c>
      <c r="E819" s="2">
        <v>45453</v>
      </c>
      <c r="F819" s="1">
        <v>144</v>
      </c>
      <c r="G819" s="1">
        <v>77</v>
      </c>
      <c r="H819" s="1" t="s">
        <v>15</v>
      </c>
      <c r="I819" s="1" t="s">
        <v>33</v>
      </c>
      <c r="J819" s="1" t="s">
        <v>24</v>
      </c>
      <c r="K819" s="1" t="s">
        <v>35</v>
      </c>
      <c r="L819" s="5" t="s">
        <v>36</v>
      </c>
      <c r="M819" s="1" t="s">
        <v>27</v>
      </c>
      <c r="N819" s="1" t="str">
        <f>YEAR(sales_data[[#This Row],[Date]]) &amp; "-" &amp; TEXT(MONTH(sales_data[[#This Row],[Date]]), "00")</f>
        <v>2024-06</v>
      </c>
      <c r="O819" s="1">
        <f xml:space="preserve"> (sales_data[[#This Row],[Sales]]* (100 - sales_data[[#This Row],[Discount]]))/100</f>
        <v>17141.929196564877</v>
      </c>
    </row>
    <row r="820" spans="1:15" x14ac:dyDescent="0.5">
      <c r="A820" s="1" t="s">
        <v>859</v>
      </c>
      <c r="B820" s="1" t="s">
        <v>22</v>
      </c>
      <c r="C820">
        <v>20626.122513239501</v>
      </c>
      <c r="D820">
        <v>15</v>
      </c>
      <c r="E820" s="2">
        <v>45453</v>
      </c>
      <c r="F820" s="1">
        <v>142</v>
      </c>
      <c r="G820" s="1">
        <v>61</v>
      </c>
      <c r="H820" s="1" t="s">
        <v>15</v>
      </c>
      <c r="I820" s="1" t="s">
        <v>33</v>
      </c>
      <c r="J820" s="1" t="s">
        <v>17</v>
      </c>
      <c r="K820" s="1" t="s">
        <v>18</v>
      </c>
      <c r="L820" s="5" t="s">
        <v>58</v>
      </c>
      <c r="M820" s="1" t="s">
        <v>44</v>
      </c>
      <c r="N820" s="1" t="str">
        <f>YEAR(sales_data[[#This Row],[Date]]) &amp; "-" &amp; TEXT(MONTH(sales_data[[#This Row],[Date]]), "00")</f>
        <v>2024-06</v>
      </c>
      <c r="O820" s="1">
        <f xml:space="preserve"> (sales_data[[#This Row],[Sales]]* (100 - sales_data[[#This Row],[Discount]]))/100</f>
        <v>17532.204136253578</v>
      </c>
    </row>
    <row r="821" spans="1:15" x14ac:dyDescent="0.5">
      <c r="A821" s="1" t="s">
        <v>878</v>
      </c>
      <c r="B821" s="1" t="s">
        <v>22</v>
      </c>
      <c r="C821">
        <v>30725.745638866902</v>
      </c>
      <c r="D821">
        <v>5</v>
      </c>
      <c r="E821" s="2">
        <v>45453</v>
      </c>
      <c r="F821" s="1">
        <v>192</v>
      </c>
      <c r="G821" s="1">
        <v>65</v>
      </c>
      <c r="H821" s="1" t="s">
        <v>15</v>
      </c>
      <c r="I821" s="1" t="s">
        <v>33</v>
      </c>
      <c r="J821" s="1" t="s">
        <v>17</v>
      </c>
      <c r="K821" s="1" t="s">
        <v>35</v>
      </c>
      <c r="L821" s="5" t="s">
        <v>26</v>
      </c>
      <c r="M821" s="1" t="s">
        <v>44</v>
      </c>
      <c r="N821" s="1" t="str">
        <f>YEAR(sales_data[[#This Row],[Date]]) &amp; "-" &amp; TEXT(MONTH(sales_data[[#This Row],[Date]]), "00")</f>
        <v>2024-06</v>
      </c>
      <c r="O821" s="1">
        <f xml:space="preserve"> (sales_data[[#This Row],[Sales]]* (100 - sales_data[[#This Row],[Discount]]))/100</f>
        <v>29189.458356923558</v>
      </c>
    </row>
    <row r="822" spans="1:15" x14ac:dyDescent="0.5">
      <c r="A822" s="1" t="s">
        <v>656</v>
      </c>
      <c r="B822" s="1" t="s">
        <v>50</v>
      </c>
      <c r="C822">
        <v>23204.214306335001</v>
      </c>
      <c r="D822">
        <v>15</v>
      </c>
      <c r="E822" s="2">
        <v>45455</v>
      </c>
      <c r="F822" s="1">
        <v>112</v>
      </c>
      <c r="G822" s="1">
        <v>62</v>
      </c>
      <c r="H822" s="1" t="s">
        <v>15</v>
      </c>
      <c r="I822" s="1" t="s">
        <v>23</v>
      </c>
      <c r="J822" s="1" t="s">
        <v>24</v>
      </c>
      <c r="K822" s="1" t="s">
        <v>18</v>
      </c>
      <c r="L822" s="5" t="s">
        <v>30</v>
      </c>
      <c r="M822" s="1" t="s">
        <v>27</v>
      </c>
      <c r="N822" s="1" t="str">
        <f>YEAR(sales_data[[#This Row],[Date]]) &amp; "-" &amp; TEXT(MONTH(sales_data[[#This Row],[Date]]), "00")</f>
        <v>2024-06</v>
      </c>
      <c r="O822" s="1">
        <f xml:space="preserve"> (sales_data[[#This Row],[Sales]]* (100 - sales_data[[#This Row],[Discount]]))/100</f>
        <v>19723.582160384751</v>
      </c>
    </row>
    <row r="823" spans="1:15" x14ac:dyDescent="0.5">
      <c r="A823" s="1" t="s">
        <v>516</v>
      </c>
      <c r="B823" s="1" t="s">
        <v>22</v>
      </c>
      <c r="C823">
        <v>22357.077781931999</v>
      </c>
      <c r="D823">
        <v>0</v>
      </c>
      <c r="E823" s="2">
        <v>45456</v>
      </c>
      <c r="F823" s="1">
        <v>123</v>
      </c>
      <c r="G823" s="1">
        <v>47</v>
      </c>
      <c r="H823" s="1" t="s">
        <v>15</v>
      </c>
      <c r="I823" s="1" t="s">
        <v>33</v>
      </c>
      <c r="J823" s="1" t="s">
        <v>34</v>
      </c>
      <c r="K823" s="1" t="s">
        <v>35</v>
      </c>
      <c r="L823" s="5" t="s">
        <v>43</v>
      </c>
      <c r="M823" s="1" t="s">
        <v>48</v>
      </c>
      <c r="N823" s="1" t="str">
        <f>YEAR(sales_data[[#This Row],[Date]]) &amp; "-" &amp; TEXT(MONTH(sales_data[[#This Row],[Date]]), "00")</f>
        <v>2024-06</v>
      </c>
      <c r="O823" s="1">
        <f xml:space="preserve"> (sales_data[[#This Row],[Sales]]* (100 - sales_data[[#This Row],[Discount]]))/100</f>
        <v>22357.077781931999</v>
      </c>
    </row>
    <row r="824" spans="1:15" x14ac:dyDescent="0.5">
      <c r="A824" s="1" t="s">
        <v>828</v>
      </c>
      <c r="B824" s="1" t="s">
        <v>22</v>
      </c>
      <c r="C824">
        <v>24267.077793901499</v>
      </c>
      <c r="D824">
        <v>15</v>
      </c>
      <c r="E824" s="2">
        <v>45456</v>
      </c>
      <c r="F824" s="1">
        <v>176</v>
      </c>
      <c r="G824" s="1">
        <v>66</v>
      </c>
      <c r="H824" s="1" t="s">
        <v>15</v>
      </c>
      <c r="I824" s="1" t="s">
        <v>33</v>
      </c>
      <c r="J824" s="1" t="s">
        <v>24</v>
      </c>
      <c r="K824" s="1" t="s">
        <v>35</v>
      </c>
      <c r="L824" s="5" t="s">
        <v>38</v>
      </c>
      <c r="M824" s="1" t="s">
        <v>48</v>
      </c>
      <c r="N824" s="1" t="str">
        <f>YEAR(sales_data[[#This Row],[Date]]) &amp; "-" &amp; TEXT(MONTH(sales_data[[#This Row],[Date]]), "00")</f>
        <v>2024-06</v>
      </c>
      <c r="O824" s="1">
        <f xml:space="preserve"> (sales_data[[#This Row],[Sales]]* (100 - sales_data[[#This Row],[Discount]]))/100</f>
        <v>20627.016124816273</v>
      </c>
    </row>
    <row r="825" spans="1:15" x14ac:dyDescent="0.5">
      <c r="A825" s="1" t="s">
        <v>89</v>
      </c>
      <c r="B825" s="1" t="s">
        <v>22</v>
      </c>
      <c r="C825">
        <v>0</v>
      </c>
      <c r="D825">
        <v>15</v>
      </c>
      <c r="E825" s="2">
        <v>45457</v>
      </c>
      <c r="F825" s="1">
        <v>118</v>
      </c>
      <c r="G825" s="1">
        <v>41</v>
      </c>
      <c r="H825" s="1" t="s">
        <v>15</v>
      </c>
      <c r="I825" s="1" t="s">
        <v>23</v>
      </c>
      <c r="J825" s="1" t="s">
        <v>24</v>
      </c>
      <c r="K825" s="1" t="s">
        <v>25</v>
      </c>
      <c r="L825" s="5" t="s">
        <v>85</v>
      </c>
      <c r="M825" s="1" t="s">
        <v>48</v>
      </c>
      <c r="N825" s="1" t="str">
        <f>YEAR(sales_data[[#This Row],[Date]]) &amp; "-" &amp; TEXT(MONTH(sales_data[[#This Row],[Date]]), "00")</f>
        <v>2024-06</v>
      </c>
      <c r="O825" s="1">
        <f xml:space="preserve"> (sales_data[[#This Row],[Sales]]* (100 - sales_data[[#This Row],[Discount]]))/100</f>
        <v>0</v>
      </c>
    </row>
    <row r="826" spans="1:15" x14ac:dyDescent="0.5">
      <c r="A826" s="1" t="s">
        <v>806</v>
      </c>
      <c r="B826" s="1" t="s">
        <v>50</v>
      </c>
      <c r="C826">
        <v>12799.745587028499</v>
      </c>
      <c r="D826">
        <v>5</v>
      </c>
      <c r="E826" s="2">
        <v>45457</v>
      </c>
      <c r="F826" s="1">
        <v>168</v>
      </c>
      <c r="G826" s="1">
        <v>31</v>
      </c>
      <c r="H826" s="1" t="s">
        <v>15</v>
      </c>
      <c r="I826" s="1" t="s">
        <v>33</v>
      </c>
      <c r="J826" s="1" t="s">
        <v>24</v>
      </c>
      <c r="K826" s="1" t="s">
        <v>35</v>
      </c>
      <c r="L826" s="5" t="s">
        <v>26</v>
      </c>
      <c r="M826" s="1" t="s">
        <v>31</v>
      </c>
      <c r="N826" s="1" t="str">
        <f>YEAR(sales_data[[#This Row],[Date]]) &amp; "-" &amp; TEXT(MONTH(sales_data[[#This Row],[Date]]), "00")</f>
        <v>2024-06</v>
      </c>
      <c r="O826" s="1">
        <f xml:space="preserve"> (sales_data[[#This Row],[Sales]]* (100 - sales_data[[#This Row],[Discount]]))/100</f>
        <v>12159.758307677075</v>
      </c>
    </row>
    <row r="827" spans="1:15" x14ac:dyDescent="0.5">
      <c r="A827" s="1" t="s">
        <v>96</v>
      </c>
      <c r="B827" s="1" t="s">
        <v>50</v>
      </c>
      <c r="C827">
        <v>13099.4927089255</v>
      </c>
      <c r="D827">
        <v>0</v>
      </c>
      <c r="E827" s="2">
        <v>45458</v>
      </c>
      <c r="F827" s="1">
        <v>118</v>
      </c>
      <c r="G827" s="1">
        <v>52</v>
      </c>
      <c r="H827" s="1" t="s">
        <v>15</v>
      </c>
      <c r="I827" s="1" t="s">
        <v>33</v>
      </c>
      <c r="J827" s="1" t="s">
        <v>17</v>
      </c>
      <c r="K827" s="1" t="s">
        <v>25</v>
      </c>
      <c r="L827" s="5" t="s">
        <v>38</v>
      </c>
      <c r="M827" s="1" t="s">
        <v>41</v>
      </c>
      <c r="N827" s="1" t="str">
        <f>YEAR(sales_data[[#This Row],[Date]]) &amp; "-" &amp; TEXT(MONTH(sales_data[[#This Row],[Date]]), "00")</f>
        <v>2024-06</v>
      </c>
      <c r="O827" s="1">
        <f xml:space="preserve"> (sales_data[[#This Row],[Sales]]* (100 - sales_data[[#This Row],[Discount]]))/100</f>
        <v>13099.4927089255</v>
      </c>
    </row>
    <row r="828" spans="1:15" x14ac:dyDescent="0.5">
      <c r="A828" s="1" t="s">
        <v>638</v>
      </c>
      <c r="B828" s="1" t="s">
        <v>22</v>
      </c>
      <c r="C828">
        <v>23802.073280721401</v>
      </c>
      <c r="D828">
        <v>15</v>
      </c>
      <c r="E828" s="2">
        <v>45458</v>
      </c>
      <c r="F828" s="1">
        <v>108</v>
      </c>
      <c r="G828" s="1">
        <v>91</v>
      </c>
      <c r="H828" s="1" t="s">
        <v>15</v>
      </c>
      <c r="I828" s="1" t="s">
        <v>23</v>
      </c>
      <c r="J828" s="1" t="s">
        <v>34</v>
      </c>
      <c r="K828" s="1" t="s">
        <v>18</v>
      </c>
      <c r="L828" s="5" t="s">
        <v>26</v>
      </c>
      <c r="M828" s="1" t="s">
        <v>41</v>
      </c>
      <c r="N828" s="1" t="str">
        <f>YEAR(sales_data[[#This Row],[Date]]) &amp; "-" &amp; TEXT(MONTH(sales_data[[#This Row],[Date]]), "00")</f>
        <v>2024-06</v>
      </c>
      <c r="O828" s="1">
        <f xml:space="preserve"> (sales_data[[#This Row],[Sales]]* (100 - sales_data[[#This Row],[Discount]]))/100</f>
        <v>20231.76228861319</v>
      </c>
    </row>
    <row r="829" spans="1:15" x14ac:dyDescent="0.5">
      <c r="A829" s="1" t="s">
        <v>843</v>
      </c>
      <c r="B829" s="1" t="s">
        <v>29</v>
      </c>
      <c r="C829">
        <v>15051.859317148301</v>
      </c>
      <c r="D829">
        <v>10</v>
      </c>
      <c r="E829" s="2">
        <v>45458</v>
      </c>
      <c r="F829" s="1">
        <v>161</v>
      </c>
      <c r="G829" s="1">
        <v>63</v>
      </c>
      <c r="H829" s="1" t="s">
        <v>15</v>
      </c>
      <c r="I829" s="1" t="s">
        <v>23</v>
      </c>
      <c r="J829" s="1" t="s">
        <v>34</v>
      </c>
      <c r="K829" s="1" t="s">
        <v>18</v>
      </c>
      <c r="L829" s="5" t="s">
        <v>30</v>
      </c>
      <c r="M829" s="1" t="s">
        <v>41</v>
      </c>
      <c r="N829" s="1" t="str">
        <f>YEAR(sales_data[[#This Row],[Date]]) &amp; "-" &amp; TEXT(MONTH(sales_data[[#This Row],[Date]]), "00")</f>
        <v>2024-06</v>
      </c>
      <c r="O829" s="1">
        <f xml:space="preserve"> (sales_data[[#This Row],[Sales]]* (100 - sales_data[[#This Row],[Discount]]))/100</f>
        <v>13546.673385433471</v>
      </c>
    </row>
    <row r="830" spans="1:15" x14ac:dyDescent="0.5">
      <c r="A830" s="1" t="s">
        <v>897</v>
      </c>
      <c r="B830" s="1" t="s">
        <v>29</v>
      </c>
      <c r="C830">
        <v>22844.915395926299</v>
      </c>
      <c r="D830">
        <v>0</v>
      </c>
      <c r="E830" s="2">
        <v>45458</v>
      </c>
      <c r="F830" s="1">
        <v>121</v>
      </c>
      <c r="G830" s="1">
        <v>43</v>
      </c>
      <c r="H830" s="1" t="s">
        <v>15</v>
      </c>
      <c r="I830" s="1" t="s">
        <v>16</v>
      </c>
      <c r="J830" s="1" t="s">
        <v>24</v>
      </c>
      <c r="K830" s="1" t="s">
        <v>35</v>
      </c>
      <c r="L830" s="5" t="s">
        <v>58</v>
      </c>
      <c r="M830" s="1" t="s">
        <v>41</v>
      </c>
      <c r="N830" s="1" t="str">
        <f>YEAR(sales_data[[#This Row],[Date]]) &amp; "-" &amp; TEXT(MONTH(sales_data[[#This Row],[Date]]), "00")</f>
        <v>2024-06</v>
      </c>
      <c r="O830" s="1">
        <f xml:space="preserve"> (sales_data[[#This Row],[Sales]]* (100 - sales_data[[#This Row],[Discount]]))/100</f>
        <v>22844.915395926299</v>
      </c>
    </row>
    <row r="831" spans="1:15" x14ac:dyDescent="0.5">
      <c r="A831" s="1" t="s">
        <v>981</v>
      </c>
      <c r="B831" s="1" t="s">
        <v>50</v>
      </c>
      <c r="C831">
        <v>19647.5061097045</v>
      </c>
      <c r="D831">
        <v>0</v>
      </c>
      <c r="E831" s="2">
        <v>45458</v>
      </c>
      <c r="F831" s="1">
        <v>198</v>
      </c>
      <c r="G831" s="1">
        <v>3</v>
      </c>
      <c r="H831" s="1" t="s">
        <v>15</v>
      </c>
      <c r="I831" s="1" t="s">
        <v>16</v>
      </c>
      <c r="J831" s="1" t="s">
        <v>24</v>
      </c>
      <c r="K831" s="1" t="s">
        <v>35</v>
      </c>
      <c r="L831" s="5" t="s">
        <v>85</v>
      </c>
      <c r="M831" s="1" t="s">
        <v>41</v>
      </c>
      <c r="N831" s="1" t="str">
        <f>YEAR(sales_data[[#This Row],[Date]]) &amp; "-" &amp; TEXT(MONTH(sales_data[[#This Row],[Date]]), "00")</f>
        <v>2024-06</v>
      </c>
      <c r="O831" s="1">
        <f xml:space="preserve"> (sales_data[[#This Row],[Sales]]* (100 - sales_data[[#This Row],[Discount]]))/100</f>
        <v>19647.5061097045</v>
      </c>
    </row>
    <row r="832" spans="1:15" x14ac:dyDescent="0.5">
      <c r="A832" s="1" t="s">
        <v>998</v>
      </c>
      <c r="B832" s="1" t="s">
        <v>22</v>
      </c>
      <c r="C832">
        <v>20852.0811118774</v>
      </c>
      <c r="D832">
        <v>0</v>
      </c>
      <c r="E832" s="2">
        <v>45458</v>
      </c>
      <c r="F832" s="1">
        <v>156</v>
      </c>
      <c r="G832" s="1">
        <v>49</v>
      </c>
      <c r="H832" s="1" t="s">
        <v>15</v>
      </c>
      <c r="I832" s="1" t="s">
        <v>16</v>
      </c>
      <c r="J832" s="1" t="s">
        <v>34</v>
      </c>
      <c r="K832" s="1" t="s">
        <v>35</v>
      </c>
      <c r="L832" s="5" t="s">
        <v>46</v>
      </c>
      <c r="M832" s="1" t="s">
        <v>44</v>
      </c>
      <c r="N832" s="1" t="str">
        <f>YEAR(sales_data[[#This Row],[Date]]) &amp; "-" &amp; TEXT(MONTH(sales_data[[#This Row],[Date]]), "00")</f>
        <v>2024-06</v>
      </c>
      <c r="O832" s="1">
        <f xml:space="preserve"> (sales_data[[#This Row],[Sales]]* (100 - sales_data[[#This Row],[Discount]]))/100</f>
        <v>20852.0811118774</v>
      </c>
    </row>
    <row r="833" spans="1:15" x14ac:dyDescent="0.5">
      <c r="A833" s="1" t="s">
        <v>486</v>
      </c>
      <c r="B833" s="1" t="s">
        <v>22</v>
      </c>
      <c r="C833">
        <v>17385.6998642336</v>
      </c>
      <c r="D833">
        <v>5</v>
      </c>
      <c r="E833" s="2">
        <v>45459</v>
      </c>
      <c r="F833" s="1">
        <v>164</v>
      </c>
      <c r="G833" s="1">
        <v>73</v>
      </c>
      <c r="H833" s="1" t="s">
        <v>15</v>
      </c>
      <c r="I833" s="1" t="s">
        <v>16</v>
      </c>
      <c r="J833" s="1" t="s">
        <v>24</v>
      </c>
      <c r="K833" s="1" t="s">
        <v>18</v>
      </c>
      <c r="L833" s="5" t="s">
        <v>19</v>
      </c>
      <c r="M833" s="1" t="s">
        <v>48</v>
      </c>
      <c r="N833" s="1" t="str">
        <f>YEAR(sales_data[[#This Row],[Date]]) &amp; "-" &amp; TEXT(MONTH(sales_data[[#This Row],[Date]]), "00")</f>
        <v>2024-06</v>
      </c>
      <c r="O833" s="1">
        <f xml:space="preserve"> (sales_data[[#This Row],[Sales]]* (100 - sales_data[[#This Row],[Discount]]))/100</f>
        <v>16516.41487102192</v>
      </c>
    </row>
    <row r="834" spans="1:15" x14ac:dyDescent="0.5">
      <c r="A834" s="1" t="s">
        <v>167</v>
      </c>
      <c r="B834" s="1" t="s">
        <v>50</v>
      </c>
      <c r="C834">
        <v>20242.6081397241</v>
      </c>
      <c r="D834">
        <v>0</v>
      </c>
      <c r="E834" s="2">
        <v>45462</v>
      </c>
      <c r="F834" s="1">
        <v>164</v>
      </c>
      <c r="G834" s="1">
        <v>97</v>
      </c>
      <c r="H834" s="1" t="s">
        <v>15</v>
      </c>
      <c r="I834" s="1" t="s">
        <v>16</v>
      </c>
      <c r="J834" s="1" t="s">
        <v>24</v>
      </c>
      <c r="K834" s="1" t="s">
        <v>18</v>
      </c>
      <c r="L834" s="5" t="s">
        <v>54</v>
      </c>
      <c r="M834" s="1" t="s">
        <v>31</v>
      </c>
      <c r="N834" s="1" t="str">
        <f>YEAR(sales_data[[#This Row],[Date]]) &amp; "-" &amp; TEXT(MONTH(sales_data[[#This Row],[Date]]), "00")</f>
        <v>2024-06</v>
      </c>
      <c r="O834" s="1">
        <f xml:space="preserve"> (sales_data[[#This Row],[Sales]]* (100 - sales_data[[#This Row],[Discount]]))/100</f>
        <v>20242.6081397241</v>
      </c>
    </row>
    <row r="835" spans="1:15" x14ac:dyDescent="0.5">
      <c r="A835" s="1" t="s">
        <v>587</v>
      </c>
      <c r="B835" s="1" t="s">
        <v>14</v>
      </c>
      <c r="C835">
        <v>27827.620146171699</v>
      </c>
      <c r="D835">
        <v>0</v>
      </c>
      <c r="E835" s="2">
        <v>45464</v>
      </c>
      <c r="F835" s="1">
        <v>109</v>
      </c>
      <c r="G835" s="1">
        <v>19</v>
      </c>
      <c r="H835" s="1" t="s">
        <v>15</v>
      </c>
      <c r="I835" s="1" t="s">
        <v>23</v>
      </c>
      <c r="J835" s="1" t="s">
        <v>17</v>
      </c>
      <c r="K835" s="1" t="s">
        <v>35</v>
      </c>
      <c r="L835" s="5" t="s">
        <v>54</v>
      </c>
      <c r="M835" s="1" t="s">
        <v>31</v>
      </c>
      <c r="N835" s="1" t="str">
        <f>YEAR(sales_data[[#This Row],[Date]]) &amp; "-" &amp; TEXT(MONTH(sales_data[[#This Row],[Date]]), "00")</f>
        <v>2024-06</v>
      </c>
      <c r="O835" s="1">
        <f xml:space="preserve"> (sales_data[[#This Row],[Sales]]* (100 - sales_data[[#This Row],[Discount]]))/100</f>
        <v>27827.620146171699</v>
      </c>
    </row>
    <row r="836" spans="1:15" x14ac:dyDescent="0.5">
      <c r="A836" s="1" t="s">
        <v>642</v>
      </c>
      <c r="B836" s="1" t="s">
        <v>14</v>
      </c>
      <c r="C836">
        <v>19761.4432192901</v>
      </c>
      <c r="D836">
        <v>10</v>
      </c>
      <c r="E836" s="2">
        <v>45464</v>
      </c>
      <c r="F836" s="1">
        <v>135</v>
      </c>
      <c r="G836" s="1">
        <v>49</v>
      </c>
      <c r="H836" s="1" t="s">
        <v>15</v>
      </c>
      <c r="I836" s="1" t="s">
        <v>33</v>
      </c>
      <c r="J836" s="1" t="s">
        <v>24</v>
      </c>
      <c r="K836" s="1" t="s">
        <v>18</v>
      </c>
      <c r="L836" s="5" t="s">
        <v>19</v>
      </c>
      <c r="M836" s="1" t="s">
        <v>55</v>
      </c>
      <c r="N836" s="1" t="str">
        <f>YEAR(sales_data[[#This Row],[Date]]) &amp; "-" &amp; TEXT(MONTH(sales_data[[#This Row],[Date]]), "00")</f>
        <v>2024-06</v>
      </c>
      <c r="O836" s="1">
        <f xml:space="preserve"> (sales_data[[#This Row],[Sales]]* (100 - sales_data[[#This Row],[Discount]]))/100</f>
        <v>17785.298897361088</v>
      </c>
    </row>
    <row r="837" spans="1:15" x14ac:dyDescent="0.5">
      <c r="A837" s="1" t="s">
        <v>953</v>
      </c>
      <c r="B837" s="1" t="s">
        <v>14</v>
      </c>
      <c r="C837">
        <v>20409.1467927378</v>
      </c>
      <c r="D837">
        <v>5</v>
      </c>
      <c r="E837" s="2">
        <v>45464</v>
      </c>
      <c r="F837" s="1">
        <v>150</v>
      </c>
      <c r="G837" s="1">
        <v>8</v>
      </c>
      <c r="H837" s="1" t="s">
        <v>15</v>
      </c>
      <c r="I837" s="1" t="s">
        <v>23</v>
      </c>
      <c r="J837" s="1" t="s">
        <v>34</v>
      </c>
      <c r="K837" s="1" t="s">
        <v>35</v>
      </c>
      <c r="L837" s="5" t="s">
        <v>38</v>
      </c>
      <c r="M837" s="1" t="s">
        <v>20</v>
      </c>
      <c r="N837" s="1" t="str">
        <f>YEAR(sales_data[[#This Row],[Date]]) &amp; "-" &amp; TEXT(MONTH(sales_data[[#This Row],[Date]]), "00")</f>
        <v>2024-06</v>
      </c>
      <c r="O837" s="1">
        <f xml:space="preserve"> (sales_data[[#This Row],[Sales]]* (100 - sales_data[[#This Row],[Discount]]))/100</f>
        <v>19388.689453100909</v>
      </c>
    </row>
    <row r="838" spans="1:15" x14ac:dyDescent="0.5">
      <c r="A838" s="1" t="s">
        <v>421</v>
      </c>
      <c r="B838" s="1" t="s">
        <v>22</v>
      </c>
      <c r="C838">
        <v>32800.422691343898</v>
      </c>
      <c r="D838">
        <v>5</v>
      </c>
      <c r="E838" s="2">
        <v>45465</v>
      </c>
      <c r="F838" s="1">
        <v>129</v>
      </c>
      <c r="G838" s="1">
        <v>55</v>
      </c>
      <c r="H838" s="1" t="s">
        <v>15</v>
      </c>
      <c r="I838" s="1" t="s">
        <v>23</v>
      </c>
      <c r="J838" s="1" t="s">
        <v>34</v>
      </c>
      <c r="K838" s="1" t="s">
        <v>25</v>
      </c>
      <c r="L838" s="5" t="s">
        <v>36</v>
      </c>
      <c r="M838" s="1" t="s">
        <v>31</v>
      </c>
      <c r="N838" s="1" t="str">
        <f>YEAR(sales_data[[#This Row],[Date]]) &amp; "-" &amp; TEXT(MONTH(sales_data[[#This Row],[Date]]), "00")</f>
        <v>2024-06</v>
      </c>
      <c r="O838" s="1">
        <f xml:space="preserve"> (sales_data[[#This Row],[Sales]]* (100 - sales_data[[#This Row],[Discount]]))/100</f>
        <v>31160.401556776702</v>
      </c>
    </row>
    <row r="839" spans="1:15" x14ac:dyDescent="0.5">
      <c r="A839" s="1" t="s">
        <v>731</v>
      </c>
      <c r="B839" s="1" t="s">
        <v>50</v>
      </c>
      <c r="C839">
        <v>20384.109455301201</v>
      </c>
      <c r="D839">
        <v>15</v>
      </c>
      <c r="E839" s="2">
        <v>45465</v>
      </c>
      <c r="F839" s="1">
        <v>188</v>
      </c>
      <c r="G839" s="1">
        <v>27</v>
      </c>
      <c r="H839" s="1" t="s">
        <v>15</v>
      </c>
      <c r="I839" s="1" t="s">
        <v>23</v>
      </c>
      <c r="J839" s="1" t="s">
        <v>17</v>
      </c>
      <c r="K839" s="1" t="s">
        <v>35</v>
      </c>
      <c r="L839" s="5" t="s">
        <v>43</v>
      </c>
      <c r="M839" s="1" t="s">
        <v>31</v>
      </c>
      <c r="N839" s="1" t="str">
        <f>YEAR(sales_data[[#This Row],[Date]]) &amp; "-" &amp; TEXT(MONTH(sales_data[[#This Row],[Date]]), "00")</f>
        <v>2024-06</v>
      </c>
      <c r="O839" s="1">
        <f xml:space="preserve"> (sales_data[[#This Row],[Sales]]* (100 - sales_data[[#This Row],[Discount]]))/100</f>
        <v>17326.493037006021</v>
      </c>
    </row>
    <row r="840" spans="1:15" x14ac:dyDescent="0.5">
      <c r="A840" s="1" t="s">
        <v>75</v>
      </c>
      <c r="B840" s="1" t="s">
        <v>29</v>
      </c>
      <c r="C840">
        <v>20578.373171464202</v>
      </c>
      <c r="D840">
        <v>0</v>
      </c>
      <c r="E840" s="2">
        <v>45466</v>
      </c>
      <c r="F840" s="1">
        <v>140</v>
      </c>
      <c r="G840" s="1">
        <v>81</v>
      </c>
      <c r="H840" s="1" t="s">
        <v>15</v>
      </c>
      <c r="I840" s="1" t="s">
        <v>23</v>
      </c>
      <c r="J840" s="1" t="s">
        <v>34</v>
      </c>
      <c r="K840" s="1" t="s">
        <v>35</v>
      </c>
      <c r="L840" s="5" t="s">
        <v>26</v>
      </c>
      <c r="M840" s="1" t="s">
        <v>55</v>
      </c>
      <c r="N840" s="1" t="str">
        <f>YEAR(sales_data[[#This Row],[Date]]) &amp; "-" &amp; TEXT(MONTH(sales_data[[#This Row],[Date]]), "00")</f>
        <v>2024-06</v>
      </c>
      <c r="O840" s="1">
        <f xml:space="preserve"> (sales_data[[#This Row],[Sales]]* (100 - sales_data[[#This Row],[Discount]]))/100</f>
        <v>20578.373171464202</v>
      </c>
    </row>
    <row r="841" spans="1:15" x14ac:dyDescent="0.5">
      <c r="A841" s="1" t="s">
        <v>211</v>
      </c>
      <c r="B841" s="1" t="s">
        <v>22</v>
      </c>
      <c r="C841">
        <v>25838.910308299</v>
      </c>
      <c r="D841">
        <v>15</v>
      </c>
      <c r="E841" s="2">
        <v>45466</v>
      </c>
      <c r="F841" s="1">
        <v>127</v>
      </c>
      <c r="G841" s="1">
        <v>74</v>
      </c>
      <c r="H841" s="1" t="s">
        <v>15</v>
      </c>
      <c r="I841" s="1" t="s">
        <v>33</v>
      </c>
      <c r="J841" s="1" t="s">
        <v>17</v>
      </c>
      <c r="K841" s="1" t="s">
        <v>25</v>
      </c>
      <c r="L841" s="5" t="s">
        <v>38</v>
      </c>
      <c r="M841" s="1" t="s">
        <v>41</v>
      </c>
      <c r="N841" s="1" t="str">
        <f>YEAR(sales_data[[#This Row],[Date]]) &amp; "-" &amp; TEXT(MONTH(sales_data[[#This Row],[Date]]), "00")</f>
        <v>2024-06</v>
      </c>
      <c r="O841" s="1">
        <f xml:space="preserve"> (sales_data[[#This Row],[Sales]]* (100 - sales_data[[#This Row],[Discount]]))/100</f>
        <v>21963.073762054151</v>
      </c>
    </row>
    <row r="842" spans="1:15" x14ac:dyDescent="0.5">
      <c r="A842" s="1" t="s">
        <v>912</v>
      </c>
      <c r="B842" s="1" t="s">
        <v>50</v>
      </c>
      <c r="C842">
        <v>21870.282849237799</v>
      </c>
      <c r="D842">
        <v>0</v>
      </c>
      <c r="E842" s="2">
        <v>45466</v>
      </c>
      <c r="F842" s="1">
        <v>192</v>
      </c>
      <c r="G842" s="1">
        <v>37</v>
      </c>
      <c r="H842" s="1" t="s">
        <v>15</v>
      </c>
      <c r="I842" s="1" t="s">
        <v>16</v>
      </c>
      <c r="J842" s="1" t="s">
        <v>17</v>
      </c>
      <c r="K842" s="1" t="s">
        <v>35</v>
      </c>
      <c r="L842" s="5" t="s">
        <v>43</v>
      </c>
      <c r="M842" s="1" t="s">
        <v>48</v>
      </c>
      <c r="N842" s="1" t="str">
        <f>YEAR(sales_data[[#This Row],[Date]]) &amp; "-" &amp; TEXT(MONTH(sales_data[[#This Row],[Date]]), "00")</f>
        <v>2024-06</v>
      </c>
      <c r="O842" s="1">
        <f xml:space="preserve"> (sales_data[[#This Row],[Sales]]* (100 - sales_data[[#This Row],[Discount]]))/100</f>
        <v>21870.282849237799</v>
      </c>
    </row>
    <row r="843" spans="1:15" x14ac:dyDescent="0.5">
      <c r="A843" s="1" t="s">
        <v>533</v>
      </c>
      <c r="B843" s="1" t="s">
        <v>29</v>
      </c>
      <c r="C843">
        <v>19834.365135631</v>
      </c>
      <c r="D843">
        <v>10</v>
      </c>
      <c r="E843" s="2">
        <v>45467</v>
      </c>
      <c r="F843" s="1">
        <v>174</v>
      </c>
      <c r="G843" s="1">
        <v>29</v>
      </c>
      <c r="H843" s="1" t="s">
        <v>15</v>
      </c>
      <c r="I843" s="1" t="s">
        <v>33</v>
      </c>
      <c r="J843" s="1" t="s">
        <v>17</v>
      </c>
      <c r="K843" s="1" t="s">
        <v>35</v>
      </c>
      <c r="L843" s="5" t="s">
        <v>36</v>
      </c>
      <c r="M843" s="1" t="s">
        <v>27</v>
      </c>
      <c r="N843" s="1" t="str">
        <f>YEAR(sales_data[[#This Row],[Date]]) &amp; "-" &amp; TEXT(MONTH(sales_data[[#This Row],[Date]]), "00")</f>
        <v>2024-06</v>
      </c>
      <c r="O843" s="1">
        <f xml:space="preserve"> (sales_data[[#This Row],[Sales]]* (100 - sales_data[[#This Row],[Discount]]))/100</f>
        <v>17850.928622067902</v>
      </c>
    </row>
    <row r="844" spans="1:15" x14ac:dyDescent="0.5">
      <c r="A844" s="1" t="s">
        <v>508</v>
      </c>
      <c r="B844" s="1" t="s">
        <v>29</v>
      </c>
      <c r="C844">
        <v>17345.015224990901</v>
      </c>
      <c r="D844">
        <v>15</v>
      </c>
      <c r="E844" s="2">
        <v>45468</v>
      </c>
      <c r="F844" s="1">
        <v>153</v>
      </c>
      <c r="G844" s="1">
        <v>10</v>
      </c>
      <c r="H844" s="1" t="s">
        <v>15</v>
      </c>
      <c r="I844" s="1" t="s">
        <v>23</v>
      </c>
      <c r="J844" s="1" t="s">
        <v>34</v>
      </c>
      <c r="K844" s="1" t="s">
        <v>18</v>
      </c>
      <c r="L844" s="5" t="s">
        <v>19</v>
      </c>
      <c r="M844" s="1" t="s">
        <v>48</v>
      </c>
      <c r="N844" s="1" t="str">
        <f>YEAR(sales_data[[#This Row],[Date]]) &amp; "-" &amp; TEXT(MONTH(sales_data[[#This Row],[Date]]), "00")</f>
        <v>2024-06</v>
      </c>
      <c r="O844" s="1">
        <f xml:space="preserve"> (sales_data[[#This Row],[Sales]]* (100 - sales_data[[#This Row],[Discount]]))/100</f>
        <v>14743.262941242265</v>
      </c>
    </row>
    <row r="845" spans="1:15" x14ac:dyDescent="0.5">
      <c r="A845" s="1" t="s">
        <v>551</v>
      </c>
      <c r="B845" s="1" t="s">
        <v>22</v>
      </c>
      <c r="C845">
        <v>25333.373447945702</v>
      </c>
      <c r="D845">
        <v>10</v>
      </c>
      <c r="E845" s="2">
        <v>45468</v>
      </c>
      <c r="F845" s="1">
        <v>105</v>
      </c>
      <c r="G845" s="1">
        <v>71</v>
      </c>
      <c r="H845" s="1" t="s">
        <v>15</v>
      </c>
      <c r="I845" s="1" t="s">
        <v>23</v>
      </c>
      <c r="J845" s="1" t="s">
        <v>34</v>
      </c>
      <c r="K845" s="1" t="s">
        <v>25</v>
      </c>
      <c r="L845" s="5" t="s">
        <v>38</v>
      </c>
      <c r="M845" s="1" t="s">
        <v>55</v>
      </c>
      <c r="N845" s="1" t="str">
        <f>YEAR(sales_data[[#This Row],[Date]]) &amp; "-" &amp; TEXT(MONTH(sales_data[[#This Row],[Date]]), "00")</f>
        <v>2024-06</v>
      </c>
      <c r="O845" s="1">
        <f xml:space="preserve"> (sales_data[[#This Row],[Sales]]* (100 - sales_data[[#This Row],[Discount]]))/100</f>
        <v>22800.036103151135</v>
      </c>
    </row>
    <row r="846" spans="1:15" x14ac:dyDescent="0.5">
      <c r="A846" s="1" t="s">
        <v>660</v>
      </c>
      <c r="B846" s="1" t="s">
        <v>14</v>
      </c>
      <c r="C846">
        <v>24623.168414563799</v>
      </c>
      <c r="D846">
        <v>0</v>
      </c>
      <c r="E846" s="2">
        <v>45469</v>
      </c>
      <c r="F846" s="1">
        <v>109</v>
      </c>
      <c r="G846" s="1">
        <v>81</v>
      </c>
      <c r="H846" s="1" t="s">
        <v>15</v>
      </c>
      <c r="I846" s="1" t="s">
        <v>23</v>
      </c>
      <c r="J846" s="1" t="s">
        <v>24</v>
      </c>
      <c r="K846" s="1" t="s">
        <v>35</v>
      </c>
      <c r="L846" s="5" t="s">
        <v>43</v>
      </c>
      <c r="M846" s="1" t="s">
        <v>48</v>
      </c>
      <c r="N846" s="1" t="str">
        <f>YEAR(sales_data[[#This Row],[Date]]) &amp; "-" &amp; TEXT(MONTH(sales_data[[#This Row],[Date]]), "00")</f>
        <v>2024-06</v>
      </c>
      <c r="O846" s="1">
        <f xml:space="preserve"> (sales_data[[#This Row],[Sales]]* (100 - sales_data[[#This Row],[Discount]]))/100</f>
        <v>24623.168414563799</v>
      </c>
    </row>
    <row r="847" spans="1:15" x14ac:dyDescent="0.5">
      <c r="A847" s="1" t="s">
        <v>200</v>
      </c>
      <c r="B847" s="1" t="s">
        <v>50</v>
      </c>
      <c r="C847">
        <v>14351.4657267119</v>
      </c>
      <c r="D847">
        <v>10</v>
      </c>
      <c r="E847" s="2">
        <v>45470</v>
      </c>
      <c r="F847" s="1">
        <v>122</v>
      </c>
      <c r="G847" s="1">
        <v>87</v>
      </c>
      <c r="H847" s="1" t="s">
        <v>38</v>
      </c>
      <c r="I847" s="1" t="s">
        <v>16</v>
      </c>
      <c r="J847" s="1" t="s">
        <v>24</v>
      </c>
      <c r="K847" s="1" t="s">
        <v>35</v>
      </c>
      <c r="L847" s="5" t="s">
        <v>19</v>
      </c>
      <c r="M847" s="1" t="s">
        <v>44</v>
      </c>
      <c r="N847" s="1" t="str">
        <f>YEAR(sales_data[[#This Row],[Date]]) &amp; "-" &amp; TEXT(MONTH(sales_data[[#This Row],[Date]]), "00")</f>
        <v>2024-06</v>
      </c>
      <c r="O847" s="1">
        <f xml:space="preserve"> (sales_data[[#This Row],[Sales]]* (100 - sales_data[[#This Row],[Discount]]))/100</f>
        <v>12916.319154040712</v>
      </c>
    </row>
    <row r="848" spans="1:15" x14ac:dyDescent="0.5">
      <c r="A848" s="1" t="s">
        <v>215</v>
      </c>
      <c r="B848" s="1" t="s">
        <v>22</v>
      </c>
      <c r="C848">
        <v>17561.968879637501</v>
      </c>
      <c r="D848">
        <v>15</v>
      </c>
      <c r="E848" s="2">
        <v>45470</v>
      </c>
      <c r="F848" s="1">
        <v>136</v>
      </c>
      <c r="G848" s="1">
        <v>62</v>
      </c>
      <c r="H848" s="1" t="s">
        <v>15</v>
      </c>
      <c r="I848" s="1" t="s">
        <v>16</v>
      </c>
      <c r="J848" s="1" t="s">
        <v>34</v>
      </c>
      <c r="K848" s="1" t="s">
        <v>18</v>
      </c>
      <c r="L848" s="5" t="s">
        <v>43</v>
      </c>
      <c r="M848" s="1" t="s">
        <v>27</v>
      </c>
      <c r="N848" s="1" t="str">
        <f>YEAR(sales_data[[#This Row],[Date]]) &amp; "-" &amp; TEXT(MONTH(sales_data[[#This Row],[Date]]), "00")</f>
        <v>2024-06</v>
      </c>
      <c r="O848" s="1">
        <f xml:space="preserve"> (sales_data[[#This Row],[Sales]]* (100 - sales_data[[#This Row],[Discount]]))/100</f>
        <v>14927.673547691875</v>
      </c>
    </row>
    <row r="849" spans="1:15" x14ac:dyDescent="0.5">
      <c r="A849" s="1" t="s">
        <v>51</v>
      </c>
      <c r="B849" s="1" t="s">
        <v>14</v>
      </c>
      <c r="C849">
        <v>11434.3273545456</v>
      </c>
      <c r="D849">
        <v>0</v>
      </c>
      <c r="E849" s="2">
        <v>45471</v>
      </c>
      <c r="F849" s="1">
        <v>148</v>
      </c>
      <c r="G849" s="1">
        <v>74</v>
      </c>
      <c r="H849" s="1" t="s">
        <v>15</v>
      </c>
      <c r="I849" s="1" t="s">
        <v>33</v>
      </c>
      <c r="J849" s="1" t="s">
        <v>24</v>
      </c>
      <c r="K849" s="1" t="s">
        <v>35</v>
      </c>
      <c r="L849" s="5" t="s">
        <v>19</v>
      </c>
      <c r="M849" s="1" t="s">
        <v>44</v>
      </c>
      <c r="N849" s="1" t="str">
        <f>YEAR(sales_data[[#This Row],[Date]]) &amp; "-" &amp; TEXT(MONTH(sales_data[[#This Row],[Date]]), "00")</f>
        <v>2024-06</v>
      </c>
      <c r="O849" s="1">
        <f xml:space="preserve"> (sales_data[[#This Row],[Sales]]* (100 - sales_data[[#This Row],[Discount]]))/100</f>
        <v>11434.3273545456</v>
      </c>
    </row>
    <row r="850" spans="1:15" x14ac:dyDescent="0.5">
      <c r="A850" s="1" t="s">
        <v>748</v>
      </c>
      <c r="B850" s="1" t="s">
        <v>22</v>
      </c>
      <c r="C850">
        <v>19018.2507545751</v>
      </c>
      <c r="D850">
        <v>15</v>
      </c>
      <c r="E850" s="2">
        <v>45471</v>
      </c>
      <c r="F850" s="1">
        <v>103</v>
      </c>
      <c r="G850" s="1">
        <v>8</v>
      </c>
      <c r="H850" s="1" t="s">
        <v>15</v>
      </c>
      <c r="I850" s="1" t="s">
        <v>33</v>
      </c>
      <c r="J850" s="1" t="s">
        <v>24</v>
      </c>
      <c r="K850" s="1" t="s">
        <v>18</v>
      </c>
      <c r="L850" s="5" t="s">
        <v>43</v>
      </c>
      <c r="M850" s="1" t="s">
        <v>41</v>
      </c>
      <c r="N850" s="1" t="str">
        <f>YEAR(sales_data[[#This Row],[Date]]) &amp; "-" &amp; TEXT(MONTH(sales_data[[#This Row],[Date]]), "00")</f>
        <v>2024-06</v>
      </c>
      <c r="O850" s="1">
        <f xml:space="preserve"> (sales_data[[#This Row],[Sales]]* (100 - sales_data[[#This Row],[Discount]]))/100</f>
        <v>16165.513141388836</v>
      </c>
    </row>
    <row r="851" spans="1:15" x14ac:dyDescent="0.5">
      <c r="A851" s="1" t="s">
        <v>1009</v>
      </c>
      <c r="B851" s="1" t="s">
        <v>14</v>
      </c>
      <c r="C851">
        <v>14149.4348697032</v>
      </c>
      <c r="D851">
        <v>0</v>
      </c>
      <c r="E851" s="2">
        <v>45471</v>
      </c>
      <c r="F851" s="1">
        <v>159</v>
      </c>
      <c r="G851" s="1">
        <v>38</v>
      </c>
      <c r="H851" s="1" t="s">
        <v>15</v>
      </c>
      <c r="I851" s="1" t="s">
        <v>16</v>
      </c>
      <c r="J851" s="1" t="s">
        <v>24</v>
      </c>
      <c r="K851" s="1" t="s">
        <v>25</v>
      </c>
      <c r="L851" s="5" t="s">
        <v>54</v>
      </c>
      <c r="M851" s="1" t="s">
        <v>31</v>
      </c>
      <c r="N851" s="1" t="str">
        <f>YEAR(sales_data[[#This Row],[Date]]) &amp; "-" &amp; TEXT(MONTH(sales_data[[#This Row],[Date]]), "00")</f>
        <v>2024-06</v>
      </c>
      <c r="O851" s="1">
        <f xml:space="preserve"> (sales_data[[#This Row],[Sales]]* (100 - sales_data[[#This Row],[Discount]]))/100</f>
        <v>14149.434869703202</v>
      </c>
    </row>
    <row r="852" spans="1:15" x14ac:dyDescent="0.5">
      <c r="A852" s="1" t="s">
        <v>146</v>
      </c>
      <c r="B852" s="1" t="s">
        <v>50</v>
      </c>
      <c r="C852">
        <v>14592.259981928</v>
      </c>
      <c r="D852">
        <v>10</v>
      </c>
      <c r="E852" s="2">
        <v>45472</v>
      </c>
      <c r="F852" s="1">
        <v>181</v>
      </c>
      <c r="G852" s="1">
        <v>74</v>
      </c>
      <c r="H852" s="1" t="s">
        <v>15</v>
      </c>
      <c r="I852" s="1" t="s">
        <v>23</v>
      </c>
      <c r="J852" s="1" t="s">
        <v>17</v>
      </c>
      <c r="K852" s="1" t="s">
        <v>35</v>
      </c>
      <c r="L852" s="5" t="s">
        <v>26</v>
      </c>
      <c r="M852" s="1" t="s">
        <v>55</v>
      </c>
      <c r="N852" s="1" t="str">
        <f>YEAR(sales_data[[#This Row],[Date]]) &amp; "-" &amp; TEXT(MONTH(sales_data[[#This Row],[Date]]), "00")</f>
        <v>2024-06</v>
      </c>
      <c r="O852" s="1">
        <f xml:space="preserve"> (sales_data[[#This Row],[Sales]]* (100 - sales_data[[#This Row],[Discount]]))/100</f>
        <v>13133.0339837352</v>
      </c>
    </row>
    <row r="853" spans="1:15" x14ac:dyDescent="0.5">
      <c r="A853" s="1" t="s">
        <v>254</v>
      </c>
      <c r="B853" s="1" t="s">
        <v>29</v>
      </c>
      <c r="C853">
        <v>17449.918005726198</v>
      </c>
      <c r="D853">
        <v>15</v>
      </c>
      <c r="E853" s="2">
        <v>45474</v>
      </c>
      <c r="F853" s="1">
        <v>126</v>
      </c>
      <c r="G853" s="1">
        <v>91</v>
      </c>
      <c r="H853" s="1" t="s">
        <v>15</v>
      </c>
      <c r="I853" s="1" t="s">
        <v>23</v>
      </c>
      <c r="J853" s="1" t="s">
        <v>24</v>
      </c>
      <c r="K853" s="1" t="s">
        <v>25</v>
      </c>
      <c r="L853" s="5" t="s">
        <v>30</v>
      </c>
      <c r="M853" s="1" t="s">
        <v>48</v>
      </c>
      <c r="N853" s="1" t="str">
        <f>YEAR(sales_data[[#This Row],[Date]]) &amp; "-" &amp; TEXT(MONTH(sales_data[[#This Row],[Date]]), "00")</f>
        <v>2024-07</v>
      </c>
      <c r="O853" s="1">
        <f xml:space="preserve"> (sales_data[[#This Row],[Sales]]* (100 - sales_data[[#This Row],[Discount]]))/100</f>
        <v>14832.430304867268</v>
      </c>
    </row>
    <row r="854" spans="1:15" x14ac:dyDescent="0.5">
      <c r="A854" s="1" t="s">
        <v>374</v>
      </c>
      <c r="B854" s="1" t="s">
        <v>22</v>
      </c>
      <c r="C854">
        <v>25516.509410082599</v>
      </c>
      <c r="D854">
        <v>15</v>
      </c>
      <c r="E854" s="2">
        <v>45475</v>
      </c>
      <c r="F854" s="1">
        <v>147</v>
      </c>
      <c r="G854" s="1">
        <v>74</v>
      </c>
      <c r="H854" s="1" t="s">
        <v>15</v>
      </c>
      <c r="I854" s="1" t="s">
        <v>16</v>
      </c>
      <c r="J854" s="1" t="s">
        <v>17</v>
      </c>
      <c r="K854" s="1" t="s">
        <v>25</v>
      </c>
      <c r="L854" s="5" t="s">
        <v>38</v>
      </c>
      <c r="M854" s="1" t="s">
        <v>20</v>
      </c>
      <c r="N854" s="1" t="str">
        <f>YEAR(sales_data[[#This Row],[Date]]) &amp; "-" &amp; TEXT(MONTH(sales_data[[#This Row],[Date]]), "00")</f>
        <v>2024-07</v>
      </c>
      <c r="O854" s="1">
        <f xml:space="preserve"> (sales_data[[#This Row],[Sales]]* (100 - sales_data[[#This Row],[Discount]]))/100</f>
        <v>21689.032998570208</v>
      </c>
    </row>
    <row r="855" spans="1:15" x14ac:dyDescent="0.5">
      <c r="A855" s="1" t="s">
        <v>450</v>
      </c>
      <c r="B855" s="1" t="s">
        <v>22</v>
      </c>
      <c r="C855">
        <v>21038.4384358155</v>
      </c>
      <c r="D855">
        <v>0</v>
      </c>
      <c r="E855" s="2">
        <v>45476</v>
      </c>
      <c r="F855" s="1">
        <v>198</v>
      </c>
      <c r="G855" s="1">
        <v>61</v>
      </c>
      <c r="H855" s="1" t="s">
        <v>15</v>
      </c>
      <c r="I855" s="1" t="s">
        <v>33</v>
      </c>
      <c r="J855" s="1" t="s">
        <v>24</v>
      </c>
      <c r="K855" s="1" t="s">
        <v>35</v>
      </c>
      <c r="L855" s="5" t="s">
        <v>54</v>
      </c>
      <c r="M855" s="1" t="s">
        <v>20</v>
      </c>
      <c r="N855" s="1" t="str">
        <f>YEAR(sales_data[[#This Row],[Date]]) &amp; "-" &amp; TEXT(MONTH(sales_data[[#This Row],[Date]]), "00")</f>
        <v>2024-07</v>
      </c>
      <c r="O855" s="1">
        <f xml:space="preserve"> (sales_data[[#This Row],[Sales]]* (100 - sales_data[[#This Row],[Discount]]))/100</f>
        <v>21038.438435815497</v>
      </c>
    </row>
    <row r="856" spans="1:15" x14ac:dyDescent="0.5">
      <c r="A856" s="1" t="s">
        <v>112</v>
      </c>
      <c r="B856" s="1" t="s">
        <v>29</v>
      </c>
      <c r="C856">
        <v>22520.232577589199</v>
      </c>
      <c r="D856">
        <v>15</v>
      </c>
      <c r="E856" s="2">
        <v>45477</v>
      </c>
      <c r="F856" s="1">
        <v>186</v>
      </c>
      <c r="G856" s="1">
        <v>68</v>
      </c>
      <c r="H856" s="1" t="s">
        <v>15</v>
      </c>
      <c r="I856" s="1" t="s">
        <v>16</v>
      </c>
      <c r="J856" s="1" t="s">
        <v>17</v>
      </c>
      <c r="K856" s="1" t="s">
        <v>18</v>
      </c>
      <c r="L856" s="5" t="s">
        <v>38</v>
      </c>
      <c r="M856" s="1" t="s">
        <v>27</v>
      </c>
      <c r="N856" s="1" t="str">
        <f>YEAR(sales_data[[#This Row],[Date]]) &amp; "-" &amp; TEXT(MONTH(sales_data[[#This Row],[Date]]), "00")</f>
        <v>2024-07</v>
      </c>
      <c r="O856" s="1">
        <f xml:space="preserve"> (sales_data[[#This Row],[Sales]]* (100 - sales_data[[#This Row],[Discount]]))/100</f>
        <v>19142.197690950819</v>
      </c>
    </row>
    <row r="857" spans="1:15" x14ac:dyDescent="0.5">
      <c r="A857" s="1" t="s">
        <v>435</v>
      </c>
      <c r="B857" s="1" t="s">
        <v>14</v>
      </c>
      <c r="C857">
        <v>16364.314120875601</v>
      </c>
      <c r="D857">
        <v>5</v>
      </c>
      <c r="E857" s="2">
        <v>45478</v>
      </c>
      <c r="F857" s="1">
        <v>172</v>
      </c>
      <c r="G857" s="1">
        <v>47</v>
      </c>
      <c r="H857" s="1" t="s">
        <v>15</v>
      </c>
      <c r="I857" s="1" t="s">
        <v>16</v>
      </c>
      <c r="J857" s="1" t="s">
        <v>24</v>
      </c>
      <c r="K857" s="1" t="s">
        <v>35</v>
      </c>
      <c r="L857" s="5" t="s">
        <v>36</v>
      </c>
      <c r="M857" s="1" t="s">
        <v>55</v>
      </c>
      <c r="N857" s="1" t="str">
        <f>YEAR(sales_data[[#This Row],[Date]]) &amp; "-" &amp; TEXT(MONTH(sales_data[[#This Row],[Date]]), "00")</f>
        <v>2024-07</v>
      </c>
      <c r="O857" s="1">
        <f xml:space="preserve"> (sales_data[[#This Row],[Sales]]* (100 - sales_data[[#This Row],[Discount]]))/100</f>
        <v>15546.09841483182</v>
      </c>
    </row>
    <row r="858" spans="1:15" x14ac:dyDescent="0.5">
      <c r="A858" s="1" t="s">
        <v>88</v>
      </c>
      <c r="B858" s="1" t="s">
        <v>22</v>
      </c>
      <c r="C858">
        <v>11206.302567884401</v>
      </c>
      <c r="D858">
        <v>15</v>
      </c>
      <c r="E858" s="2">
        <v>45480</v>
      </c>
      <c r="F858" s="1">
        <v>110</v>
      </c>
      <c r="G858" s="1">
        <v>34</v>
      </c>
      <c r="H858" s="1" t="s">
        <v>15</v>
      </c>
      <c r="I858" s="1" t="s">
        <v>33</v>
      </c>
      <c r="J858" s="1" t="s">
        <v>34</v>
      </c>
      <c r="K858" s="1" t="s">
        <v>25</v>
      </c>
      <c r="L858" s="5" t="s">
        <v>43</v>
      </c>
      <c r="M858" s="1" t="s">
        <v>55</v>
      </c>
      <c r="N858" s="1" t="str">
        <f>YEAR(sales_data[[#This Row],[Date]]) &amp; "-" &amp; TEXT(MONTH(sales_data[[#This Row],[Date]]), "00")</f>
        <v>2024-07</v>
      </c>
      <c r="O858" s="1">
        <f xml:space="preserve"> (sales_data[[#This Row],[Sales]]* (100 - sales_data[[#This Row],[Discount]]))/100</f>
        <v>9525.3571827017404</v>
      </c>
    </row>
    <row r="859" spans="1:15" x14ac:dyDescent="0.5">
      <c r="A859" s="1" t="s">
        <v>144</v>
      </c>
      <c r="B859" s="1" t="s">
        <v>29</v>
      </c>
      <c r="C859">
        <v>12888.7314520116</v>
      </c>
      <c r="D859">
        <v>10</v>
      </c>
      <c r="E859" s="2">
        <v>45480</v>
      </c>
      <c r="F859" s="1">
        <v>109</v>
      </c>
      <c r="G859" s="1">
        <v>80</v>
      </c>
      <c r="H859" s="1" t="s">
        <v>15</v>
      </c>
      <c r="I859" s="1" t="s">
        <v>16</v>
      </c>
      <c r="J859" s="1" t="s">
        <v>24</v>
      </c>
      <c r="K859" s="1" t="s">
        <v>18</v>
      </c>
      <c r="L859" s="5" t="s">
        <v>26</v>
      </c>
      <c r="M859" s="1" t="s">
        <v>44</v>
      </c>
      <c r="N859" s="1" t="str">
        <f>YEAR(sales_data[[#This Row],[Date]]) &amp; "-" &amp; TEXT(MONTH(sales_data[[#This Row],[Date]]), "00")</f>
        <v>2024-07</v>
      </c>
      <c r="O859" s="1">
        <f xml:space="preserve"> (sales_data[[#This Row],[Sales]]* (100 - sales_data[[#This Row],[Discount]]))/100</f>
        <v>11599.85830681044</v>
      </c>
    </row>
    <row r="860" spans="1:15" x14ac:dyDescent="0.5">
      <c r="A860" s="1" t="s">
        <v>305</v>
      </c>
      <c r="B860" s="1" t="s">
        <v>40</v>
      </c>
      <c r="C860">
        <v>6515.5667852921397</v>
      </c>
      <c r="D860">
        <v>0</v>
      </c>
      <c r="E860" s="2">
        <v>45480</v>
      </c>
      <c r="F860" s="1">
        <v>198</v>
      </c>
      <c r="G860" s="1">
        <v>83</v>
      </c>
      <c r="H860" s="1" t="s">
        <v>15</v>
      </c>
      <c r="I860" s="1" t="s">
        <v>33</v>
      </c>
      <c r="J860" s="1" t="s">
        <v>34</v>
      </c>
      <c r="K860" s="1" t="s">
        <v>18</v>
      </c>
      <c r="L860" s="5" t="s">
        <v>19</v>
      </c>
      <c r="M860" s="1" t="s">
        <v>20</v>
      </c>
      <c r="N860" s="1" t="str">
        <f>YEAR(sales_data[[#This Row],[Date]]) &amp; "-" &amp; TEXT(MONTH(sales_data[[#This Row],[Date]]), "00")</f>
        <v>2024-07</v>
      </c>
      <c r="O860" s="1">
        <f xml:space="preserve"> (sales_data[[#This Row],[Sales]]* (100 - sales_data[[#This Row],[Discount]]))/100</f>
        <v>6515.5667852921397</v>
      </c>
    </row>
    <row r="861" spans="1:15" x14ac:dyDescent="0.5">
      <c r="A861" s="1" t="s">
        <v>774</v>
      </c>
      <c r="B861" s="1" t="s">
        <v>22</v>
      </c>
      <c r="C861">
        <v>21824.8050123311</v>
      </c>
      <c r="D861">
        <v>10</v>
      </c>
      <c r="E861" s="2">
        <v>45480</v>
      </c>
      <c r="F861" s="1">
        <v>171</v>
      </c>
      <c r="G861" s="1">
        <v>97</v>
      </c>
      <c r="H861" s="1" t="s">
        <v>15</v>
      </c>
      <c r="I861" s="1" t="s">
        <v>16</v>
      </c>
      <c r="J861" s="1" t="s">
        <v>34</v>
      </c>
      <c r="K861" s="1" t="s">
        <v>25</v>
      </c>
      <c r="L861" s="5" t="s">
        <v>26</v>
      </c>
      <c r="M861" s="1" t="s">
        <v>44</v>
      </c>
      <c r="N861" s="1" t="str">
        <f>YEAR(sales_data[[#This Row],[Date]]) &amp; "-" &amp; TEXT(MONTH(sales_data[[#This Row],[Date]]), "00")</f>
        <v>2024-07</v>
      </c>
      <c r="O861" s="1">
        <f xml:space="preserve"> (sales_data[[#This Row],[Sales]]* (100 - sales_data[[#This Row],[Discount]]))/100</f>
        <v>19642.324511097991</v>
      </c>
    </row>
    <row r="862" spans="1:15" x14ac:dyDescent="0.5">
      <c r="A862" s="1" t="s">
        <v>873</v>
      </c>
      <c r="B862" s="1" t="s">
        <v>14</v>
      </c>
      <c r="C862">
        <v>18525.251608539798</v>
      </c>
      <c r="D862">
        <v>10</v>
      </c>
      <c r="E862" s="2">
        <v>45480</v>
      </c>
      <c r="F862" s="1">
        <v>180</v>
      </c>
      <c r="G862" s="1">
        <v>89</v>
      </c>
      <c r="H862" s="1" t="s">
        <v>15</v>
      </c>
      <c r="I862" s="1" t="s">
        <v>16</v>
      </c>
      <c r="J862" s="1" t="s">
        <v>34</v>
      </c>
      <c r="K862" s="1" t="s">
        <v>25</v>
      </c>
      <c r="L862" s="5" t="s">
        <v>30</v>
      </c>
      <c r="M862" s="1" t="s">
        <v>27</v>
      </c>
      <c r="N862" s="1" t="str">
        <f>YEAR(sales_data[[#This Row],[Date]]) &amp; "-" &amp; TEXT(MONTH(sales_data[[#This Row],[Date]]), "00")</f>
        <v>2024-07</v>
      </c>
      <c r="O862" s="1">
        <f xml:space="preserve"> (sales_data[[#This Row],[Sales]]* (100 - sales_data[[#This Row],[Discount]]))/100</f>
        <v>16672.726447685818</v>
      </c>
    </row>
    <row r="863" spans="1:15" x14ac:dyDescent="0.5">
      <c r="A863" s="1" t="s">
        <v>318</v>
      </c>
      <c r="B863" s="1" t="s">
        <v>22</v>
      </c>
      <c r="C863">
        <v>19278.1979403802</v>
      </c>
      <c r="D863">
        <v>10</v>
      </c>
      <c r="E863" s="2">
        <v>45481</v>
      </c>
      <c r="F863" s="1">
        <v>184</v>
      </c>
      <c r="G863" s="1">
        <v>27</v>
      </c>
      <c r="H863" s="1" t="s">
        <v>15</v>
      </c>
      <c r="I863" s="1" t="s">
        <v>33</v>
      </c>
      <c r="J863" s="1" t="s">
        <v>34</v>
      </c>
      <c r="K863" s="1" t="s">
        <v>18</v>
      </c>
      <c r="L863" s="5" t="s">
        <v>26</v>
      </c>
      <c r="M863" s="1" t="s">
        <v>27</v>
      </c>
      <c r="N863" s="1" t="str">
        <f>YEAR(sales_data[[#This Row],[Date]]) &amp; "-" &amp; TEXT(MONTH(sales_data[[#This Row],[Date]]), "00")</f>
        <v>2024-07</v>
      </c>
      <c r="O863" s="1">
        <f xml:space="preserve"> (sales_data[[#This Row],[Sales]]* (100 - sales_data[[#This Row],[Discount]]))/100</f>
        <v>17350.37814634218</v>
      </c>
    </row>
    <row r="864" spans="1:15" x14ac:dyDescent="0.5">
      <c r="A864" s="1" t="s">
        <v>343</v>
      </c>
      <c r="B864" s="1" t="s">
        <v>29</v>
      </c>
      <c r="C864">
        <v>13889.3609555402</v>
      </c>
      <c r="D864">
        <v>10</v>
      </c>
      <c r="E864" s="2">
        <v>45481</v>
      </c>
      <c r="F864" s="1">
        <v>169</v>
      </c>
      <c r="G864" s="1">
        <v>52</v>
      </c>
      <c r="H864" s="1" t="s">
        <v>15</v>
      </c>
      <c r="I864" s="1" t="s">
        <v>33</v>
      </c>
      <c r="J864" s="1" t="s">
        <v>24</v>
      </c>
      <c r="K864" s="1" t="s">
        <v>18</v>
      </c>
      <c r="L864" s="5" t="s">
        <v>46</v>
      </c>
      <c r="M864" s="1" t="s">
        <v>27</v>
      </c>
      <c r="N864" s="1" t="str">
        <f>YEAR(sales_data[[#This Row],[Date]]) &amp; "-" &amp; TEXT(MONTH(sales_data[[#This Row],[Date]]), "00")</f>
        <v>2024-07</v>
      </c>
      <c r="O864" s="1">
        <f xml:space="preserve"> (sales_data[[#This Row],[Sales]]* (100 - sales_data[[#This Row],[Discount]]))/100</f>
        <v>12500.42485998618</v>
      </c>
    </row>
    <row r="865" spans="1:15" x14ac:dyDescent="0.5">
      <c r="A865" s="1" t="s">
        <v>509</v>
      </c>
      <c r="B865" s="1" t="s">
        <v>22</v>
      </c>
      <c r="C865">
        <v>16884.297367876101</v>
      </c>
      <c r="D865">
        <v>10</v>
      </c>
      <c r="E865" s="2">
        <v>45481</v>
      </c>
      <c r="F865" s="1">
        <v>151</v>
      </c>
      <c r="G865" s="1">
        <v>36</v>
      </c>
      <c r="H865" s="1" t="s">
        <v>15</v>
      </c>
      <c r="I865" s="1" t="s">
        <v>23</v>
      </c>
      <c r="J865" s="1" t="s">
        <v>24</v>
      </c>
      <c r="K865" s="1" t="s">
        <v>35</v>
      </c>
      <c r="L865" s="5" t="s">
        <v>19</v>
      </c>
      <c r="M865" s="1" t="s">
        <v>55</v>
      </c>
      <c r="N865" s="1" t="str">
        <f>YEAR(sales_data[[#This Row],[Date]]) &amp; "-" &amp; TEXT(MONTH(sales_data[[#This Row],[Date]]), "00")</f>
        <v>2024-07</v>
      </c>
      <c r="O865" s="1">
        <f xml:space="preserve"> (sales_data[[#This Row],[Sales]]* (100 - sales_data[[#This Row],[Discount]]))/100</f>
        <v>15195.867631088491</v>
      </c>
    </row>
    <row r="866" spans="1:15" x14ac:dyDescent="0.5">
      <c r="A866" s="1" t="s">
        <v>746</v>
      </c>
      <c r="B866" s="1" t="s">
        <v>22</v>
      </c>
      <c r="C866">
        <v>21193.945795132498</v>
      </c>
      <c r="D866">
        <v>10</v>
      </c>
      <c r="E866" s="2">
        <v>45481</v>
      </c>
      <c r="F866" s="1">
        <v>143</v>
      </c>
      <c r="G866" s="1">
        <v>33</v>
      </c>
      <c r="H866" s="1" t="s">
        <v>15</v>
      </c>
      <c r="I866" s="1" t="s">
        <v>23</v>
      </c>
      <c r="J866" s="1" t="s">
        <v>17</v>
      </c>
      <c r="K866" s="1" t="s">
        <v>18</v>
      </c>
      <c r="L866" s="5" t="s">
        <v>43</v>
      </c>
      <c r="M866" s="1" t="s">
        <v>41</v>
      </c>
      <c r="N866" s="1" t="str">
        <f>YEAR(sales_data[[#This Row],[Date]]) &amp; "-" &amp; TEXT(MONTH(sales_data[[#This Row],[Date]]), "00")</f>
        <v>2024-07</v>
      </c>
      <c r="O866" s="1">
        <f xml:space="preserve"> (sales_data[[#This Row],[Sales]]* (100 - sales_data[[#This Row],[Discount]]))/100</f>
        <v>19074.551215619249</v>
      </c>
    </row>
    <row r="867" spans="1:15" x14ac:dyDescent="0.5">
      <c r="A867" s="1" t="s">
        <v>824</v>
      </c>
      <c r="B867" s="1" t="s">
        <v>14</v>
      </c>
      <c r="C867">
        <v>32198.7620316963</v>
      </c>
      <c r="D867">
        <v>15</v>
      </c>
      <c r="E867" s="2">
        <v>45481</v>
      </c>
      <c r="F867" s="1">
        <v>143</v>
      </c>
      <c r="G867" s="1">
        <v>61</v>
      </c>
      <c r="H867" s="1" t="s">
        <v>15</v>
      </c>
      <c r="I867" s="1" t="s">
        <v>23</v>
      </c>
      <c r="J867" s="1" t="s">
        <v>34</v>
      </c>
      <c r="K867" s="1" t="s">
        <v>35</v>
      </c>
      <c r="L867" s="5" t="s">
        <v>85</v>
      </c>
      <c r="M867" s="1" t="s">
        <v>44</v>
      </c>
      <c r="N867" s="1" t="str">
        <f>YEAR(sales_data[[#This Row],[Date]]) &amp; "-" &amp; TEXT(MONTH(sales_data[[#This Row],[Date]]), "00")</f>
        <v>2024-07</v>
      </c>
      <c r="O867" s="1">
        <f xml:space="preserve"> (sales_data[[#This Row],[Sales]]* (100 - sales_data[[#This Row],[Discount]]))/100</f>
        <v>27368.947726941853</v>
      </c>
    </row>
    <row r="868" spans="1:15" x14ac:dyDescent="0.5">
      <c r="A868" s="1" t="s">
        <v>1027</v>
      </c>
      <c r="B868" s="1" t="s">
        <v>22</v>
      </c>
      <c r="C868">
        <v>17783.588744042401</v>
      </c>
      <c r="D868">
        <v>5</v>
      </c>
      <c r="E868" s="2">
        <v>45481</v>
      </c>
      <c r="F868" s="1">
        <v>137</v>
      </c>
      <c r="G868" s="1">
        <v>60</v>
      </c>
      <c r="H868" s="1" t="s">
        <v>15</v>
      </c>
      <c r="I868" s="1" t="s">
        <v>33</v>
      </c>
      <c r="J868" s="1" t="s">
        <v>17</v>
      </c>
      <c r="K868" s="1" t="s">
        <v>18</v>
      </c>
      <c r="L868" s="5" t="s">
        <v>26</v>
      </c>
      <c r="M868" s="1" t="s">
        <v>20</v>
      </c>
      <c r="N868" s="1" t="str">
        <f>YEAR(sales_data[[#This Row],[Date]]) &amp; "-" &amp; TEXT(MONTH(sales_data[[#This Row],[Date]]), "00")</f>
        <v>2024-07</v>
      </c>
      <c r="O868" s="1">
        <f xml:space="preserve"> (sales_data[[#This Row],[Sales]]* (100 - sales_data[[#This Row],[Discount]]))/100</f>
        <v>16894.409306840284</v>
      </c>
    </row>
    <row r="869" spans="1:15" x14ac:dyDescent="0.5">
      <c r="A869" s="1" t="s">
        <v>717</v>
      </c>
      <c r="B869" s="1" t="s">
        <v>50</v>
      </c>
      <c r="C869">
        <v>22718.0007729721</v>
      </c>
      <c r="D869">
        <v>0</v>
      </c>
      <c r="E869" s="2">
        <v>45483</v>
      </c>
      <c r="F869" s="1">
        <v>115</v>
      </c>
      <c r="G869" s="1">
        <v>62</v>
      </c>
      <c r="H869" s="1" t="s">
        <v>15</v>
      </c>
      <c r="I869" s="1" t="s">
        <v>33</v>
      </c>
      <c r="J869" s="1" t="s">
        <v>24</v>
      </c>
      <c r="K869" s="1" t="s">
        <v>18</v>
      </c>
      <c r="L869" s="5" t="s">
        <v>36</v>
      </c>
      <c r="M869" s="1" t="s">
        <v>55</v>
      </c>
      <c r="N869" s="1" t="str">
        <f>YEAR(sales_data[[#This Row],[Date]]) &amp; "-" &amp; TEXT(MONTH(sales_data[[#This Row],[Date]]), "00")</f>
        <v>2024-07</v>
      </c>
      <c r="O869" s="1">
        <f xml:space="preserve"> (sales_data[[#This Row],[Sales]]* (100 - sales_data[[#This Row],[Discount]]))/100</f>
        <v>22718.000772972104</v>
      </c>
    </row>
    <row r="870" spans="1:15" x14ac:dyDescent="0.5">
      <c r="A870" s="1" t="s">
        <v>812</v>
      </c>
      <c r="B870" s="1" t="s">
        <v>40</v>
      </c>
      <c r="C870">
        <v>13384.551032962499</v>
      </c>
      <c r="D870">
        <v>15</v>
      </c>
      <c r="E870" s="2">
        <v>45483</v>
      </c>
      <c r="F870" s="1">
        <v>181</v>
      </c>
      <c r="G870" s="1">
        <v>55</v>
      </c>
      <c r="H870" s="1" t="s">
        <v>15</v>
      </c>
      <c r="I870" s="1" t="s">
        <v>23</v>
      </c>
      <c r="J870" s="1" t="s">
        <v>17</v>
      </c>
      <c r="K870" s="1" t="s">
        <v>35</v>
      </c>
      <c r="L870" s="5" t="s">
        <v>43</v>
      </c>
      <c r="M870" s="1" t="s">
        <v>41</v>
      </c>
      <c r="N870" s="1" t="str">
        <f>YEAR(sales_data[[#This Row],[Date]]) &amp; "-" &amp; TEXT(MONTH(sales_data[[#This Row],[Date]]), "00")</f>
        <v>2024-07</v>
      </c>
      <c r="O870" s="1">
        <f xml:space="preserve"> (sales_data[[#This Row],[Sales]]* (100 - sales_data[[#This Row],[Discount]]))/100</f>
        <v>11376.868378018124</v>
      </c>
    </row>
    <row r="871" spans="1:15" x14ac:dyDescent="0.5">
      <c r="A871" s="1" t="s">
        <v>1001</v>
      </c>
      <c r="B871" s="1" t="s">
        <v>22</v>
      </c>
      <c r="C871">
        <v>22184.690848731701</v>
      </c>
      <c r="D871">
        <v>0</v>
      </c>
      <c r="E871" s="2">
        <v>45483</v>
      </c>
      <c r="F871" s="1">
        <v>152</v>
      </c>
      <c r="G871" s="1">
        <v>96</v>
      </c>
      <c r="H871" s="1" t="s">
        <v>15</v>
      </c>
      <c r="I871" s="1" t="s">
        <v>33</v>
      </c>
      <c r="J871" s="1" t="s">
        <v>17</v>
      </c>
      <c r="K871" s="1" t="s">
        <v>18</v>
      </c>
      <c r="L871" s="5" t="s">
        <v>26</v>
      </c>
      <c r="M871" s="1" t="s">
        <v>27</v>
      </c>
      <c r="N871" s="1" t="str">
        <f>YEAR(sales_data[[#This Row],[Date]]) &amp; "-" &amp; TEXT(MONTH(sales_data[[#This Row],[Date]]), "00")</f>
        <v>2024-07</v>
      </c>
      <c r="O871" s="1">
        <f xml:space="preserve"> (sales_data[[#This Row],[Sales]]* (100 - sales_data[[#This Row],[Discount]]))/100</f>
        <v>22184.690848731701</v>
      </c>
    </row>
    <row r="872" spans="1:15" x14ac:dyDescent="0.5">
      <c r="A872" s="1" t="s">
        <v>948</v>
      </c>
      <c r="B872" s="1" t="s">
        <v>14</v>
      </c>
      <c r="C872">
        <v>9235.5470352375796</v>
      </c>
      <c r="D872">
        <v>15</v>
      </c>
      <c r="E872" s="2">
        <v>45484</v>
      </c>
      <c r="F872" s="1">
        <v>192</v>
      </c>
      <c r="G872" s="1">
        <v>84</v>
      </c>
      <c r="H872" s="1" t="s">
        <v>38</v>
      </c>
      <c r="I872" s="1" t="s">
        <v>23</v>
      </c>
      <c r="J872" s="1" t="s">
        <v>24</v>
      </c>
      <c r="K872" s="1" t="s">
        <v>25</v>
      </c>
      <c r="L872" s="5" t="s">
        <v>30</v>
      </c>
      <c r="M872" s="1" t="s">
        <v>41</v>
      </c>
      <c r="N872" s="1" t="str">
        <f>YEAR(sales_data[[#This Row],[Date]]) &amp; "-" &amp; TEXT(MONTH(sales_data[[#This Row],[Date]]), "00")</f>
        <v>2024-07</v>
      </c>
      <c r="O872" s="1">
        <f xml:space="preserve"> (sales_data[[#This Row],[Sales]]* (100 - sales_data[[#This Row],[Discount]]))/100</f>
        <v>7850.214979951943</v>
      </c>
    </row>
    <row r="873" spans="1:15" x14ac:dyDescent="0.5">
      <c r="A873" s="1" t="s">
        <v>1023</v>
      </c>
      <c r="B873" s="1" t="s">
        <v>22</v>
      </c>
      <c r="C873">
        <v>25982.857508322399</v>
      </c>
      <c r="D873">
        <v>10</v>
      </c>
      <c r="E873" s="2">
        <v>45486</v>
      </c>
      <c r="F873" s="1">
        <v>146</v>
      </c>
      <c r="G873" s="1">
        <v>40</v>
      </c>
      <c r="H873" s="1" t="s">
        <v>15</v>
      </c>
      <c r="I873" s="1" t="s">
        <v>23</v>
      </c>
      <c r="J873" s="1" t="s">
        <v>34</v>
      </c>
      <c r="K873" s="1" t="s">
        <v>25</v>
      </c>
      <c r="L873" s="5" t="s">
        <v>54</v>
      </c>
      <c r="M873" s="1" t="s">
        <v>55</v>
      </c>
      <c r="N873" s="1" t="str">
        <f>YEAR(sales_data[[#This Row],[Date]]) &amp; "-" &amp; TEXT(MONTH(sales_data[[#This Row],[Date]]), "00")</f>
        <v>2024-07</v>
      </c>
      <c r="O873" s="1">
        <f xml:space="preserve"> (sales_data[[#This Row],[Sales]]* (100 - sales_data[[#This Row],[Discount]]))/100</f>
        <v>23384.571757490161</v>
      </c>
    </row>
    <row r="874" spans="1:15" x14ac:dyDescent="0.5">
      <c r="A874" s="1" t="s">
        <v>61</v>
      </c>
      <c r="B874" s="1" t="s">
        <v>22</v>
      </c>
      <c r="C874">
        <v>20234.902968823699</v>
      </c>
      <c r="D874">
        <v>0</v>
      </c>
      <c r="E874" s="2">
        <v>45487</v>
      </c>
      <c r="F874" s="1">
        <v>142</v>
      </c>
      <c r="G874" s="1">
        <v>96</v>
      </c>
      <c r="H874" s="1" t="s">
        <v>15</v>
      </c>
      <c r="I874" s="1" t="s">
        <v>23</v>
      </c>
      <c r="J874" s="1" t="s">
        <v>34</v>
      </c>
      <c r="K874" s="1" t="s">
        <v>35</v>
      </c>
      <c r="L874" s="5" t="s">
        <v>36</v>
      </c>
      <c r="M874" s="1" t="s">
        <v>48</v>
      </c>
      <c r="N874" s="1" t="str">
        <f>YEAR(sales_data[[#This Row],[Date]]) &amp; "-" &amp; TEXT(MONTH(sales_data[[#This Row],[Date]]), "00")</f>
        <v>2024-07</v>
      </c>
      <c r="O874" s="1">
        <f xml:space="preserve"> (sales_data[[#This Row],[Sales]]* (100 - sales_data[[#This Row],[Discount]]))/100</f>
        <v>20234.902968823699</v>
      </c>
    </row>
    <row r="875" spans="1:15" x14ac:dyDescent="0.5">
      <c r="A875" s="1" t="s">
        <v>73</v>
      </c>
      <c r="B875" s="1" t="s">
        <v>22</v>
      </c>
      <c r="C875">
        <v>16257.567317217199</v>
      </c>
      <c r="D875">
        <v>0</v>
      </c>
      <c r="E875" s="2">
        <v>45487</v>
      </c>
      <c r="F875" s="1">
        <v>136</v>
      </c>
      <c r="G875" s="1">
        <v>51</v>
      </c>
      <c r="H875" s="1" t="s">
        <v>15</v>
      </c>
      <c r="I875" s="1" t="s">
        <v>23</v>
      </c>
      <c r="J875" s="1" t="s">
        <v>24</v>
      </c>
      <c r="K875" s="1" t="s">
        <v>25</v>
      </c>
      <c r="L875" s="5" t="s">
        <v>46</v>
      </c>
      <c r="M875" s="1" t="s">
        <v>27</v>
      </c>
      <c r="N875" s="1" t="str">
        <f>YEAR(sales_data[[#This Row],[Date]]) &amp; "-" &amp; TEXT(MONTH(sales_data[[#This Row],[Date]]), "00")</f>
        <v>2024-07</v>
      </c>
      <c r="O875" s="1">
        <f xml:space="preserve"> (sales_data[[#This Row],[Sales]]* (100 - sales_data[[#This Row],[Discount]]))/100</f>
        <v>16257.567317217199</v>
      </c>
    </row>
    <row r="876" spans="1:15" x14ac:dyDescent="0.5">
      <c r="A876" s="1" t="s">
        <v>207</v>
      </c>
      <c r="B876" s="1" t="s">
        <v>22</v>
      </c>
      <c r="C876">
        <v>21855.7293668565</v>
      </c>
      <c r="D876">
        <v>10</v>
      </c>
      <c r="E876" s="2">
        <v>45487</v>
      </c>
      <c r="F876" s="1">
        <v>123</v>
      </c>
      <c r="G876" s="1">
        <v>29</v>
      </c>
      <c r="H876" s="1" t="s">
        <v>15</v>
      </c>
      <c r="I876" s="1" t="s">
        <v>33</v>
      </c>
      <c r="J876" s="1" t="s">
        <v>17</v>
      </c>
      <c r="K876" s="1" t="s">
        <v>18</v>
      </c>
      <c r="L876" s="5" t="s">
        <v>46</v>
      </c>
      <c r="M876" s="1" t="s">
        <v>31</v>
      </c>
      <c r="N876" s="1" t="str">
        <f>YEAR(sales_data[[#This Row],[Date]]) &amp; "-" &amp; TEXT(MONTH(sales_data[[#This Row],[Date]]), "00")</f>
        <v>2024-07</v>
      </c>
      <c r="O876" s="1">
        <f xml:space="preserve"> (sales_data[[#This Row],[Sales]]* (100 - sales_data[[#This Row],[Discount]]))/100</f>
        <v>19670.156430170849</v>
      </c>
    </row>
    <row r="877" spans="1:15" x14ac:dyDescent="0.5">
      <c r="A877" s="1" t="s">
        <v>330</v>
      </c>
      <c r="B877" s="1" t="s">
        <v>14</v>
      </c>
      <c r="C877">
        <v>9633.0488379592498</v>
      </c>
      <c r="D877">
        <v>15</v>
      </c>
      <c r="E877" s="2">
        <v>45487</v>
      </c>
      <c r="F877" s="1">
        <v>144</v>
      </c>
      <c r="G877" s="1">
        <v>26</v>
      </c>
      <c r="H877" s="1" t="s">
        <v>15</v>
      </c>
      <c r="I877" s="1" t="s">
        <v>23</v>
      </c>
      <c r="J877" s="1" t="s">
        <v>17</v>
      </c>
      <c r="K877" s="1" t="s">
        <v>18</v>
      </c>
      <c r="L877" s="5" t="s">
        <v>38</v>
      </c>
      <c r="M877" s="1" t="s">
        <v>27</v>
      </c>
      <c r="N877" s="1" t="str">
        <f>YEAR(sales_data[[#This Row],[Date]]) &amp; "-" &amp; TEXT(MONTH(sales_data[[#This Row],[Date]]), "00")</f>
        <v>2024-07</v>
      </c>
      <c r="O877" s="1">
        <f xml:space="preserve"> (sales_data[[#This Row],[Sales]]* (100 - sales_data[[#This Row],[Discount]]))/100</f>
        <v>8188.0915122653623</v>
      </c>
    </row>
    <row r="878" spans="1:15" x14ac:dyDescent="0.5">
      <c r="A878" s="1" t="s">
        <v>334</v>
      </c>
      <c r="B878" s="1" t="s">
        <v>22</v>
      </c>
      <c r="C878">
        <v>16110.916562045601</v>
      </c>
      <c r="D878">
        <v>10</v>
      </c>
      <c r="E878" s="2">
        <v>45487</v>
      </c>
      <c r="F878" s="1">
        <v>110</v>
      </c>
      <c r="G878" s="1">
        <v>43</v>
      </c>
      <c r="H878" s="1" t="s">
        <v>15</v>
      </c>
      <c r="I878" s="1" t="s">
        <v>33</v>
      </c>
      <c r="J878" s="1" t="s">
        <v>34</v>
      </c>
      <c r="K878" s="1" t="s">
        <v>35</v>
      </c>
      <c r="L878" s="5" t="s">
        <v>43</v>
      </c>
      <c r="M878" s="1" t="s">
        <v>41</v>
      </c>
      <c r="N878" s="1" t="str">
        <f>YEAR(sales_data[[#This Row],[Date]]) &amp; "-" &amp; TEXT(MONTH(sales_data[[#This Row],[Date]]), "00")</f>
        <v>2024-07</v>
      </c>
      <c r="O878" s="1">
        <f xml:space="preserve"> (sales_data[[#This Row],[Sales]]* (100 - sales_data[[#This Row],[Discount]]))/100</f>
        <v>14499.82490584104</v>
      </c>
    </row>
    <row r="879" spans="1:15" x14ac:dyDescent="0.5">
      <c r="A879" s="1" t="s">
        <v>123</v>
      </c>
      <c r="B879" s="1" t="s">
        <v>40</v>
      </c>
      <c r="C879">
        <v>19438.359751545799</v>
      </c>
      <c r="D879">
        <v>10</v>
      </c>
      <c r="E879" s="2">
        <v>45489</v>
      </c>
      <c r="F879" s="1">
        <v>193</v>
      </c>
      <c r="G879" s="1">
        <v>4</v>
      </c>
      <c r="H879" s="1" t="s">
        <v>15</v>
      </c>
      <c r="I879" s="1" t="s">
        <v>16</v>
      </c>
      <c r="J879" s="1" t="s">
        <v>17</v>
      </c>
      <c r="K879" s="1" t="s">
        <v>35</v>
      </c>
      <c r="L879" s="5" t="s">
        <v>36</v>
      </c>
      <c r="M879" s="1" t="s">
        <v>27</v>
      </c>
      <c r="N879" s="1" t="str">
        <f>YEAR(sales_data[[#This Row],[Date]]) &amp; "-" &amp; TEXT(MONTH(sales_data[[#This Row],[Date]]), "00")</f>
        <v>2024-07</v>
      </c>
      <c r="O879" s="1">
        <f xml:space="preserve"> (sales_data[[#This Row],[Sales]]* (100 - sales_data[[#This Row],[Discount]]))/100</f>
        <v>17494.523776391219</v>
      </c>
    </row>
    <row r="880" spans="1:15" x14ac:dyDescent="0.5">
      <c r="A880" s="1" t="s">
        <v>142</v>
      </c>
      <c r="B880" s="1" t="s">
        <v>22</v>
      </c>
      <c r="C880">
        <v>21017.3181793361</v>
      </c>
      <c r="D880">
        <v>0</v>
      </c>
      <c r="E880" s="2">
        <v>45489</v>
      </c>
      <c r="F880" s="1">
        <v>174</v>
      </c>
      <c r="G880" s="1">
        <v>19</v>
      </c>
      <c r="H880" s="1" t="s">
        <v>15</v>
      </c>
      <c r="I880" s="1" t="s">
        <v>33</v>
      </c>
      <c r="J880" s="1" t="s">
        <v>24</v>
      </c>
      <c r="K880" s="1" t="s">
        <v>25</v>
      </c>
      <c r="L880" s="5" t="s">
        <v>19</v>
      </c>
      <c r="M880" s="1" t="s">
        <v>48</v>
      </c>
      <c r="N880" s="1" t="str">
        <f>YEAR(sales_data[[#This Row],[Date]]) &amp; "-" &amp; TEXT(MONTH(sales_data[[#This Row],[Date]]), "00")</f>
        <v>2024-07</v>
      </c>
      <c r="O880" s="1">
        <f xml:space="preserve"> (sales_data[[#This Row],[Sales]]* (100 - sales_data[[#This Row],[Discount]]))/100</f>
        <v>21017.3181793361</v>
      </c>
    </row>
    <row r="881" spans="1:15" x14ac:dyDescent="0.5">
      <c r="A881" s="1" t="s">
        <v>153</v>
      </c>
      <c r="B881" s="1" t="s">
        <v>50</v>
      </c>
      <c r="C881">
        <v>27615.620386348201</v>
      </c>
      <c r="D881">
        <v>5</v>
      </c>
      <c r="E881" s="2">
        <v>45489</v>
      </c>
      <c r="F881" s="1">
        <v>169</v>
      </c>
      <c r="G881" s="1">
        <v>2</v>
      </c>
      <c r="H881" s="1" t="s">
        <v>15</v>
      </c>
      <c r="I881" s="1" t="s">
        <v>33</v>
      </c>
      <c r="J881" s="1" t="s">
        <v>17</v>
      </c>
      <c r="K881" s="1" t="s">
        <v>18</v>
      </c>
      <c r="L881" s="5" t="s">
        <v>36</v>
      </c>
      <c r="M881" s="1" t="s">
        <v>44</v>
      </c>
      <c r="N881" s="1" t="str">
        <f>YEAR(sales_data[[#This Row],[Date]]) &amp; "-" &amp; TEXT(MONTH(sales_data[[#This Row],[Date]]), "00")</f>
        <v>2024-07</v>
      </c>
      <c r="O881" s="1">
        <f xml:space="preserve"> (sales_data[[#This Row],[Sales]]* (100 - sales_data[[#This Row],[Discount]]))/100</f>
        <v>26234.839367030789</v>
      </c>
    </row>
    <row r="882" spans="1:15" x14ac:dyDescent="0.5">
      <c r="A882" s="1" t="s">
        <v>977</v>
      </c>
      <c r="B882" s="1" t="s">
        <v>29</v>
      </c>
      <c r="C882">
        <v>16952.4389892035</v>
      </c>
      <c r="D882">
        <v>0</v>
      </c>
      <c r="E882" s="2">
        <v>45491</v>
      </c>
      <c r="F882" s="1">
        <v>127</v>
      </c>
      <c r="G882" s="1">
        <v>32</v>
      </c>
      <c r="H882" s="1" t="s">
        <v>15</v>
      </c>
      <c r="I882" s="1" t="s">
        <v>33</v>
      </c>
      <c r="J882" s="1" t="s">
        <v>24</v>
      </c>
      <c r="K882" s="1" t="s">
        <v>18</v>
      </c>
      <c r="L882" s="5" t="s">
        <v>19</v>
      </c>
      <c r="M882" s="1" t="s">
        <v>27</v>
      </c>
      <c r="N882" s="1" t="str">
        <f>YEAR(sales_data[[#This Row],[Date]]) &amp; "-" &amp; TEXT(MONTH(sales_data[[#This Row],[Date]]), "00")</f>
        <v>2024-07</v>
      </c>
      <c r="O882" s="1">
        <f xml:space="preserve"> (sales_data[[#This Row],[Sales]]* (100 - sales_data[[#This Row],[Discount]]))/100</f>
        <v>16952.4389892035</v>
      </c>
    </row>
    <row r="883" spans="1:15" x14ac:dyDescent="0.5">
      <c r="A883" s="1" t="s">
        <v>837</v>
      </c>
      <c r="B883" s="1" t="s">
        <v>29</v>
      </c>
      <c r="C883">
        <v>15057.0444642454</v>
      </c>
      <c r="D883">
        <v>15</v>
      </c>
      <c r="E883" s="2">
        <v>45492</v>
      </c>
      <c r="F883" s="1">
        <v>198</v>
      </c>
      <c r="G883" s="1">
        <v>24</v>
      </c>
      <c r="H883" s="1" t="s">
        <v>15</v>
      </c>
      <c r="I883" s="1" t="s">
        <v>16</v>
      </c>
      <c r="J883" s="1" t="s">
        <v>34</v>
      </c>
      <c r="K883" s="1" t="s">
        <v>18</v>
      </c>
      <c r="L883" s="5" t="s">
        <v>38</v>
      </c>
      <c r="M883" s="1" t="s">
        <v>41</v>
      </c>
      <c r="N883" s="1" t="str">
        <f>YEAR(sales_data[[#This Row],[Date]]) &amp; "-" &amp; TEXT(MONTH(sales_data[[#This Row],[Date]]), "00")</f>
        <v>2024-07</v>
      </c>
      <c r="O883" s="1">
        <f xml:space="preserve"> (sales_data[[#This Row],[Sales]]* (100 - sales_data[[#This Row],[Discount]]))/100</f>
        <v>12798.487794608591</v>
      </c>
    </row>
    <row r="884" spans="1:15" x14ac:dyDescent="0.5">
      <c r="A884" s="1" t="s">
        <v>613</v>
      </c>
      <c r="B884" s="1" t="s">
        <v>14</v>
      </c>
      <c r="C884">
        <v>19589.244108037099</v>
      </c>
      <c r="D884">
        <v>10</v>
      </c>
      <c r="E884" s="2">
        <v>45493</v>
      </c>
      <c r="F884" s="1">
        <v>198</v>
      </c>
      <c r="G884" s="1">
        <v>45</v>
      </c>
      <c r="H884" s="1" t="s">
        <v>15</v>
      </c>
      <c r="I884" s="1" t="s">
        <v>23</v>
      </c>
      <c r="J884" s="1" t="s">
        <v>24</v>
      </c>
      <c r="K884" s="1" t="s">
        <v>25</v>
      </c>
      <c r="L884" s="5" t="s">
        <v>38</v>
      </c>
      <c r="M884" s="1" t="s">
        <v>27</v>
      </c>
      <c r="N884" s="1" t="str">
        <f>YEAR(sales_data[[#This Row],[Date]]) &amp; "-" &amp; TEXT(MONTH(sales_data[[#This Row],[Date]]), "00")</f>
        <v>2024-07</v>
      </c>
      <c r="O884" s="1">
        <f xml:space="preserve"> (sales_data[[#This Row],[Sales]]* (100 - sales_data[[#This Row],[Discount]]))/100</f>
        <v>17630.31969723339</v>
      </c>
    </row>
    <row r="885" spans="1:15" x14ac:dyDescent="0.5">
      <c r="A885" s="1" t="s">
        <v>881</v>
      </c>
      <c r="B885" s="1" t="s">
        <v>14</v>
      </c>
      <c r="C885">
        <v>23168.884404660399</v>
      </c>
      <c r="D885">
        <v>0</v>
      </c>
      <c r="E885" s="2">
        <v>45494</v>
      </c>
      <c r="F885" s="1">
        <v>108</v>
      </c>
      <c r="G885" s="1">
        <v>4</v>
      </c>
      <c r="H885" s="1" t="s">
        <v>15</v>
      </c>
      <c r="I885" s="1" t="s">
        <v>16</v>
      </c>
      <c r="J885" s="1" t="s">
        <v>17</v>
      </c>
      <c r="K885" s="1" t="s">
        <v>25</v>
      </c>
      <c r="L885" s="5" t="s">
        <v>43</v>
      </c>
      <c r="M885" s="1" t="s">
        <v>48</v>
      </c>
      <c r="N885" s="1" t="str">
        <f>YEAR(sales_data[[#This Row],[Date]]) &amp; "-" &amp; TEXT(MONTH(sales_data[[#This Row],[Date]]), "00")</f>
        <v>2024-07</v>
      </c>
      <c r="O885" s="1">
        <f xml:space="preserve"> (sales_data[[#This Row],[Sales]]* (100 - sales_data[[#This Row],[Discount]]))/100</f>
        <v>23168.884404660399</v>
      </c>
    </row>
    <row r="886" spans="1:15" x14ac:dyDescent="0.5">
      <c r="A886" s="1" t="s">
        <v>872</v>
      </c>
      <c r="B886" s="1" t="s">
        <v>50</v>
      </c>
      <c r="C886">
        <v>24474.621884722201</v>
      </c>
      <c r="D886">
        <v>15</v>
      </c>
      <c r="E886" s="2">
        <v>45495</v>
      </c>
      <c r="F886" s="1">
        <v>138</v>
      </c>
      <c r="G886" s="1">
        <v>59</v>
      </c>
      <c r="H886" s="1" t="s">
        <v>38</v>
      </c>
      <c r="I886" s="1" t="s">
        <v>23</v>
      </c>
      <c r="J886" s="1" t="s">
        <v>17</v>
      </c>
      <c r="K886" s="1" t="s">
        <v>18</v>
      </c>
      <c r="L886" s="5" t="s">
        <v>85</v>
      </c>
      <c r="M886" s="1" t="s">
        <v>27</v>
      </c>
      <c r="N886" s="1" t="str">
        <f>YEAR(sales_data[[#This Row],[Date]]) &amp; "-" &amp; TEXT(MONTH(sales_data[[#This Row],[Date]]), "00")</f>
        <v>2024-07</v>
      </c>
      <c r="O886" s="1">
        <f xml:space="preserve"> (sales_data[[#This Row],[Sales]]* (100 - sales_data[[#This Row],[Discount]]))/100</f>
        <v>20803.428602013868</v>
      </c>
    </row>
    <row r="887" spans="1:15" x14ac:dyDescent="0.5">
      <c r="A887" s="1" t="s">
        <v>526</v>
      </c>
      <c r="B887" s="1" t="s">
        <v>50</v>
      </c>
      <c r="C887">
        <v>21672.283949935099</v>
      </c>
      <c r="D887">
        <v>5</v>
      </c>
      <c r="E887" s="2">
        <v>45496</v>
      </c>
      <c r="F887" s="1">
        <v>181</v>
      </c>
      <c r="G887" s="1">
        <v>97</v>
      </c>
      <c r="H887" s="1" t="s">
        <v>15</v>
      </c>
      <c r="I887" s="1" t="s">
        <v>33</v>
      </c>
      <c r="J887" s="1" t="s">
        <v>24</v>
      </c>
      <c r="K887" s="1" t="s">
        <v>25</v>
      </c>
      <c r="L887" s="5" t="s">
        <v>43</v>
      </c>
      <c r="M887" s="1" t="s">
        <v>55</v>
      </c>
      <c r="N887" s="1" t="str">
        <f>YEAR(sales_data[[#This Row],[Date]]) &amp; "-" &amp; TEXT(MONTH(sales_data[[#This Row],[Date]]), "00")</f>
        <v>2024-07</v>
      </c>
      <c r="O887" s="1">
        <f xml:space="preserve"> (sales_data[[#This Row],[Sales]]* (100 - sales_data[[#This Row],[Discount]]))/100</f>
        <v>20588.669752438345</v>
      </c>
    </row>
    <row r="888" spans="1:15" x14ac:dyDescent="0.5">
      <c r="A888" s="1" t="s">
        <v>686</v>
      </c>
      <c r="B888" s="1" t="s">
        <v>50</v>
      </c>
      <c r="C888">
        <v>20600.156633591301</v>
      </c>
      <c r="D888">
        <v>5</v>
      </c>
      <c r="E888" s="2">
        <v>45496</v>
      </c>
      <c r="F888" s="1">
        <v>199</v>
      </c>
      <c r="G888" s="1">
        <v>76</v>
      </c>
      <c r="H888" s="1" t="s">
        <v>15</v>
      </c>
      <c r="I888" s="1" t="s">
        <v>33</v>
      </c>
      <c r="J888" s="1" t="s">
        <v>34</v>
      </c>
      <c r="K888" s="1" t="s">
        <v>18</v>
      </c>
      <c r="L888" s="5" t="s">
        <v>54</v>
      </c>
      <c r="M888" s="1" t="s">
        <v>41</v>
      </c>
      <c r="N888" s="1" t="str">
        <f>YEAR(sales_data[[#This Row],[Date]]) &amp; "-" &amp; TEXT(MONTH(sales_data[[#This Row],[Date]]), "00")</f>
        <v>2024-07</v>
      </c>
      <c r="O888" s="1">
        <f xml:space="preserve"> (sales_data[[#This Row],[Sales]]* (100 - sales_data[[#This Row],[Discount]]))/100</f>
        <v>19570.148801911735</v>
      </c>
    </row>
    <row r="889" spans="1:15" x14ac:dyDescent="0.5">
      <c r="A889" s="1" t="s">
        <v>172</v>
      </c>
      <c r="B889" s="1" t="s">
        <v>29</v>
      </c>
      <c r="C889">
        <v>15462.181689792</v>
      </c>
      <c r="D889">
        <v>5</v>
      </c>
      <c r="E889" s="2">
        <v>45497</v>
      </c>
      <c r="F889" s="1">
        <v>184</v>
      </c>
      <c r="G889" s="1">
        <v>27</v>
      </c>
      <c r="H889" s="1" t="s">
        <v>15</v>
      </c>
      <c r="I889" s="1" t="s">
        <v>23</v>
      </c>
      <c r="J889" s="1" t="s">
        <v>34</v>
      </c>
      <c r="K889" s="1" t="s">
        <v>35</v>
      </c>
      <c r="L889" s="5" t="s">
        <v>26</v>
      </c>
      <c r="M889" s="1" t="s">
        <v>20</v>
      </c>
      <c r="N889" s="1" t="str">
        <f>YEAR(sales_data[[#This Row],[Date]]) &amp; "-" &amp; TEXT(MONTH(sales_data[[#This Row],[Date]]), "00")</f>
        <v>2024-07</v>
      </c>
      <c r="O889" s="1">
        <f xml:space="preserve"> (sales_data[[#This Row],[Sales]]* (100 - sales_data[[#This Row],[Discount]]))/100</f>
        <v>14689.072605302399</v>
      </c>
    </row>
    <row r="890" spans="1:15" x14ac:dyDescent="0.5">
      <c r="A890" s="1" t="s">
        <v>351</v>
      </c>
      <c r="B890" s="1" t="s">
        <v>22</v>
      </c>
      <c r="C890">
        <v>14594.6833620005</v>
      </c>
      <c r="D890">
        <v>10</v>
      </c>
      <c r="E890" s="2">
        <v>45497</v>
      </c>
      <c r="F890" s="1">
        <v>154</v>
      </c>
      <c r="G890" s="1">
        <v>40</v>
      </c>
      <c r="H890" s="1" t="s">
        <v>15</v>
      </c>
      <c r="I890" s="1" t="s">
        <v>33</v>
      </c>
      <c r="J890" s="1" t="s">
        <v>24</v>
      </c>
      <c r="K890" s="1" t="s">
        <v>35</v>
      </c>
      <c r="L890" s="5" t="s">
        <v>43</v>
      </c>
      <c r="M890" s="1" t="s">
        <v>27</v>
      </c>
      <c r="N890" s="1" t="str">
        <f>YEAR(sales_data[[#This Row],[Date]]) &amp; "-" &amp; TEXT(MONTH(sales_data[[#This Row],[Date]]), "00")</f>
        <v>2024-07</v>
      </c>
      <c r="O890" s="1">
        <f xml:space="preserve"> (sales_data[[#This Row],[Sales]]* (100 - sales_data[[#This Row],[Discount]]))/100</f>
        <v>13135.215025800449</v>
      </c>
    </row>
    <row r="891" spans="1:15" x14ac:dyDescent="0.5">
      <c r="A891" s="1" t="s">
        <v>955</v>
      </c>
      <c r="B891" s="1" t="s">
        <v>14</v>
      </c>
      <c r="C891">
        <v>24595.382414938798</v>
      </c>
      <c r="D891">
        <v>10</v>
      </c>
      <c r="E891" s="2">
        <v>45497</v>
      </c>
      <c r="F891" s="1">
        <v>198</v>
      </c>
      <c r="G891" s="1">
        <v>95</v>
      </c>
      <c r="H891" s="1" t="s">
        <v>15</v>
      </c>
      <c r="I891" s="1" t="s">
        <v>16</v>
      </c>
      <c r="J891" s="1" t="s">
        <v>17</v>
      </c>
      <c r="K891" s="1" t="s">
        <v>35</v>
      </c>
      <c r="L891" s="5" t="s">
        <v>54</v>
      </c>
      <c r="M891" s="1" t="s">
        <v>31</v>
      </c>
      <c r="N891" s="1" t="str">
        <f>YEAR(sales_data[[#This Row],[Date]]) &amp; "-" &amp; TEXT(MONTH(sales_data[[#This Row],[Date]]), "00")</f>
        <v>2024-07</v>
      </c>
      <c r="O891" s="1">
        <f xml:space="preserve"> (sales_data[[#This Row],[Sales]]* (100 - sales_data[[#This Row],[Discount]]))/100</f>
        <v>22135.844173444919</v>
      </c>
    </row>
    <row r="892" spans="1:15" x14ac:dyDescent="0.5">
      <c r="A892" s="1" t="s">
        <v>464</v>
      </c>
      <c r="B892" s="1" t="s">
        <v>50</v>
      </c>
      <c r="C892">
        <v>18454.139382656798</v>
      </c>
      <c r="D892">
        <v>5</v>
      </c>
      <c r="E892" s="2">
        <v>45499</v>
      </c>
      <c r="F892" s="1">
        <v>139</v>
      </c>
      <c r="G892" s="1">
        <v>39</v>
      </c>
      <c r="H892" s="1" t="s">
        <v>15</v>
      </c>
      <c r="I892" s="1" t="s">
        <v>16</v>
      </c>
      <c r="J892" s="1" t="s">
        <v>17</v>
      </c>
      <c r="K892" s="1" t="s">
        <v>25</v>
      </c>
      <c r="L892" s="5" t="s">
        <v>30</v>
      </c>
      <c r="M892" s="1" t="s">
        <v>41</v>
      </c>
      <c r="N892" s="1" t="str">
        <f>YEAR(sales_data[[#This Row],[Date]]) &amp; "-" &amp; TEXT(MONTH(sales_data[[#This Row],[Date]]), "00")</f>
        <v>2024-07</v>
      </c>
      <c r="O892" s="1">
        <f xml:space="preserve"> (sales_data[[#This Row],[Sales]]* (100 - sales_data[[#This Row],[Discount]]))/100</f>
        <v>17531.432413523959</v>
      </c>
    </row>
    <row r="893" spans="1:15" x14ac:dyDescent="0.5">
      <c r="A893" s="1" t="s">
        <v>968</v>
      </c>
      <c r="B893" s="1" t="s">
        <v>14</v>
      </c>
      <c r="C893">
        <v>22373.4911643997</v>
      </c>
      <c r="D893">
        <v>5</v>
      </c>
      <c r="E893" s="2">
        <v>45499</v>
      </c>
      <c r="F893" s="1">
        <v>103</v>
      </c>
      <c r="G893" s="1">
        <v>98</v>
      </c>
      <c r="H893" s="1" t="s">
        <v>15</v>
      </c>
      <c r="I893" s="1" t="s">
        <v>33</v>
      </c>
      <c r="J893" s="1" t="s">
        <v>17</v>
      </c>
      <c r="K893" s="1" t="s">
        <v>35</v>
      </c>
      <c r="L893" s="5" t="s">
        <v>26</v>
      </c>
      <c r="M893" s="1" t="s">
        <v>31</v>
      </c>
      <c r="N893" s="1" t="str">
        <f>YEAR(sales_data[[#This Row],[Date]]) &amp; "-" &amp; TEXT(MONTH(sales_data[[#This Row],[Date]]), "00")</f>
        <v>2024-07</v>
      </c>
      <c r="O893" s="1">
        <f xml:space="preserve"> (sales_data[[#This Row],[Sales]]* (100 - sales_data[[#This Row],[Discount]]))/100</f>
        <v>21254.816606179713</v>
      </c>
    </row>
    <row r="894" spans="1:15" x14ac:dyDescent="0.5">
      <c r="A894" s="1" t="s">
        <v>569</v>
      </c>
      <c r="B894" s="1" t="s">
        <v>50</v>
      </c>
      <c r="C894">
        <v>18461.1088252349</v>
      </c>
      <c r="D894">
        <v>5</v>
      </c>
      <c r="E894" s="2">
        <v>45500</v>
      </c>
      <c r="F894" s="1">
        <v>112</v>
      </c>
      <c r="G894" s="1">
        <v>32</v>
      </c>
      <c r="H894" s="1" t="s">
        <v>15</v>
      </c>
      <c r="I894" s="1" t="s">
        <v>23</v>
      </c>
      <c r="J894" s="1" t="s">
        <v>17</v>
      </c>
      <c r="K894" s="1" t="s">
        <v>35</v>
      </c>
      <c r="L894" s="5" t="s">
        <v>58</v>
      </c>
      <c r="M894" s="1" t="s">
        <v>48</v>
      </c>
      <c r="N894" s="1" t="str">
        <f>YEAR(sales_data[[#This Row],[Date]]) &amp; "-" &amp; TEXT(MONTH(sales_data[[#This Row],[Date]]), "00")</f>
        <v>2024-07</v>
      </c>
      <c r="O894" s="1">
        <f xml:space="preserve"> (sales_data[[#This Row],[Sales]]* (100 - sales_data[[#This Row],[Discount]]))/100</f>
        <v>17538.053383973154</v>
      </c>
    </row>
    <row r="895" spans="1:15" x14ac:dyDescent="0.5">
      <c r="A895" s="1" t="s">
        <v>645</v>
      </c>
      <c r="B895" s="1" t="s">
        <v>29</v>
      </c>
      <c r="C895">
        <v>27516.991508835701</v>
      </c>
      <c r="D895">
        <v>10</v>
      </c>
      <c r="E895" s="2">
        <v>45500</v>
      </c>
      <c r="F895" s="1">
        <v>127</v>
      </c>
      <c r="G895" s="1">
        <v>31</v>
      </c>
      <c r="H895" s="1" t="s">
        <v>15</v>
      </c>
      <c r="I895" s="1" t="s">
        <v>33</v>
      </c>
      <c r="J895" s="1" t="s">
        <v>24</v>
      </c>
      <c r="K895" s="1" t="s">
        <v>25</v>
      </c>
      <c r="L895" s="5" t="s">
        <v>58</v>
      </c>
      <c r="M895" s="1" t="s">
        <v>44</v>
      </c>
      <c r="N895" s="1" t="str">
        <f>YEAR(sales_data[[#This Row],[Date]]) &amp; "-" &amp; TEXT(MONTH(sales_data[[#This Row],[Date]]), "00")</f>
        <v>2024-07</v>
      </c>
      <c r="O895" s="1">
        <f xml:space="preserve"> (sales_data[[#This Row],[Sales]]* (100 - sales_data[[#This Row],[Discount]]))/100</f>
        <v>24765.29235795213</v>
      </c>
    </row>
    <row r="896" spans="1:15" x14ac:dyDescent="0.5">
      <c r="A896" s="1" t="s">
        <v>695</v>
      </c>
      <c r="B896" s="1" t="s">
        <v>14</v>
      </c>
      <c r="C896">
        <v>0</v>
      </c>
      <c r="D896">
        <v>5</v>
      </c>
      <c r="E896" s="2">
        <v>45500</v>
      </c>
      <c r="F896" s="1">
        <v>191</v>
      </c>
      <c r="G896" s="1">
        <v>57</v>
      </c>
      <c r="H896" s="1" t="s">
        <v>15</v>
      </c>
      <c r="I896" s="1" t="s">
        <v>33</v>
      </c>
      <c r="J896" s="1" t="s">
        <v>24</v>
      </c>
      <c r="K896" s="1" t="s">
        <v>35</v>
      </c>
      <c r="L896" s="5" t="s">
        <v>19</v>
      </c>
      <c r="M896" s="1" t="s">
        <v>20</v>
      </c>
      <c r="N896" s="1" t="str">
        <f>YEAR(sales_data[[#This Row],[Date]]) &amp; "-" &amp; TEXT(MONTH(sales_data[[#This Row],[Date]]), "00")</f>
        <v>2024-07</v>
      </c>
      <c r="O896" s="1">
        <f xml:space="preserve"> (sales_data[[#This Row],[Sales]]* (100 - sales_data[[#This Row],[Discount]]))/100</f>
        <v>0</v>
      </c>
    </row>
    <row r="897" spans="1:15" x14ac:dyDescent="0.5">
      <c r="A897" s="1" t="s">
        <v>535</v>
      </c>
      <c r="B897" s="1" t="s">
        <v>22</v>
      </c>
      <c r="C897">
        <v>0</v>
      </c>
      <c r="D897">
        <v>0</v>
      </c>
      <c r="E897" s="2">
        <v>45501</v>
      </c>
      <c r="F897" s="1">
        <v>148</v>
      </c>
      <c r="G897" s="1">
        <v>98</v>
      </c>
      <c r="H897" s="1" t="s">
        <v>15</v>
      </c>
      <c r="I897" s="1" t="s">
        <v>33</v>
      </c>
      <c r="J897" s="1" t="s">
        <v>24</v>
      </c>
      <c r="K897" s="1" t="s">
        <v>18</v>
      </c>
      <c r="L897" s="5" t="s">
        <v>36</v>
      </c>
      <c r="M897" s="1" t="s">
        <v>20</v>
      </c>
      <c r="N897" s="1" t="str">
        <f>YEAR(sales_data[[#This Row],[Date]]) &amp; "-" &amp; TEXT(MONTH(sales_data[[#This Row],[Date]]), "00")</f>
        <v>2024-07</v>
      </c>
      <c r="O897" s="1">
        <f xml:space="preserve"> (sales_data[[#This Row],[Sales]]* (100 - sales_data[[#This Row],[Discount]]))/100</f>
        <v>0</v>
      </c>
    </row>
    <row r="898" spans="1:15" x14ac:dyDescent="0.5">
      <c r="A898" s="1" t="s">
        <v>817</v>
      </c>
      <c r="B898" s="1" t="s">
        <v>29</v>
      </c>
      <c r="C898">
        <v>24908.827434957901</v>
      </c>
      <c r="D898">
        <v>15</v>
      </c>
      <c r="E898" s="2">
        <v>45501</v>
      </c>
      <c r="F898" s="1">
        <v>194</v>
      </c>
      <c r="G898" s="1">
        <v>80</v>
      </c>
      <c r="H898" s="1" t="s">
        <v>15</v>
      </c>
      <c r="I898" s="1" t="s">
        <v>33</v>
      </c>
      <c r="J898" s="1" t="s">
        <v>24</v>
      </c>
      <c r="K898" s="1" t="s">
        <v>35</v>
      </c>
      <c r="L898" s="5" t="s">
        <v>19</v>
      </c>
      <c r="M898" s="1" t="s">
        <v>44</v>
      </c>
      <c r="N898" s="1" t="str">
        <f>YEAR(sales_data[[#This Row],[Date]]) &amp; "-" &amp; TEXT(MONTH(sales_data[[#This Row],[Date]]), "00")</f>
        <v>2024-07</v>
      </c>
      <c r="O898" s="1">
        <f xml:space="preserve"> (sales_data[[#This Row],[Sales]]* (100 - sales_data[[#This Row],[Discount]]))/100</f>
        <v>21172.503319714215</v>
      </c>
    </row>
    <row r="899" spans="1:15" x14ac:dyDescent="0.5">
      <c r="A899" s="1" t="s">
        <v>783</v>
      </c>
      <c r="B899" s="1" t="s">
        <v>29</v>
      </c>
      <c r="C899">
        <v>28167.1576615054</v>
      </c>
      <c r="D899">
        <v>5</v>
      </c>
      <c r="E899" s="2">
        <v>45502</v>
      </c>
      <c r="F899" s="1">
        <v>187</v>
      </c>
      <c r="G899" s="1">
        <v>31</v>
      </c>
      <c r="H899" s="1" t="s">
        <v>15</v>
      </c>
      <c r="I899" s="1" t="s">
        <v>33</v>
      </c>
      <c r="J899" s="1" t="s">
        <v>34</v>
      </c>
      <c r="K899" s="1" t="s">
        <v>35</v>
      </c>
      <c r="L899" s="5" t="s">
        <v>38</v>
      </c>
      <c r="M899" s="1" t="s">
        <v>55</v>
      </c>
      <c r="N899" s="1" t="str">
        <f>YEAR(sales_data[[#This Row],[Date]]) &amp; "-" &amp; TEXT(MONTH(sales_data[[#This Row],[Date]]), "00")</f>
        <v>2024-07</v>
      </c>
      <c r="O899" s="1">
        <f xml:space="preserve"> (sales_data[[#This Row],[Sales]]* (100 - sales_data[[#This Row],[Discount]]))/100</f>
        <v>26758.79977843013</v>
      </c>
    </row>
    <row r="900" spans="1:15" x14ac:dyDescent="0.5">
      <c r="A900" s="1" t="s">
        <v>517</v>
      </c>
      <c r="B900" s="1" t="s">
        <v>14</v>
      </c>
      <c r="C900">
        <v>17238.8847785951</v>
      </c>
      <c r="D900">
        <v>15</v>
      </c>
      <c r="E900" s="2">
        <v>45504</v>
      </c>
      <c r="F900" s="1">
        <v>178</v>
      </c>
      <c r="G900" s="1">
        <v>19</v>
      </c>
      <c r="H900" s="1" t="s">
        <v>15</v>
      </c>
      <c r="I900" s="1" t="s">
        <v>33</v>
      </c>
      <c r="J900" s="1" t="s">
        <v>17</v>
      </c>
      <c r="K900" s="1" t="s">
        <v>35</v>
      </c>
      <c r="L900" s="5" t="s">
        <v>43</v>
      </c>
      <c r="M900" s="1" t="s">
        <v>20</v>
      </c>
      <c r="N900" s="1" t="str">
        <f>YEAR(sales_data[[#This Row],[Date]]) &amp; "-" &amp; TEXT(MONTH(sales_data[[#This Row],[Date]]), "00")</f>
        <v>2024-07</v>
      </c>
      <c r="O900" s="1">
        <f xml:space="preserve"> (sales_data[[#This Row],[Sales]]* (100 - sales_data[[#This Row],[Discount]]))/100</f>
        <v>14653.052061805834</v>
      </c>
    </row>
    <row r="901" spans="1:15" x14ac:dyDescent="0.5">
      <c r="A901" s="1" t="s">
        <v>80</v>
      </c>
      <c r="B901" s="1" t="s">
        <v>22</v>
      </c>
      <c r="C901">
        <v>18755.179257604599</v>
      </c>
      <c r="D901">
        <v>15</v>
      </c>
      <c r="E901" s="2">
        <v>45506</v>
      </c>
      <c r="F901" s="1">
        <v>158</v>
      </c>
      <c r="G901" s="1">
        <v>39</v>
      </c>
      <c r="H901" s="1" t="s">
        <v>15</v>
      </c>
      <c r="I901" s="1" t="s">
        <v>16</v>
      </c>
      <c r="J901" s="1" t="s">
        <v>17</v>
      </c>
      <c r="K901" s="1" t="s">
        <v>35</v>
      </c>
      <c r="L901" s="5" t="s">
        <v>58</v>
      </c>
      <c r="M901" s="1" t="s">
        <v>55</v>
      </c>
      <c r="N901" s="1" t="str">
        <f>YEAR(sales_data[[#This Row],[Date]]) &amp; "-" &amp; TEXT(MONTH(sales_data[[#This Row],[Date]]), "00")</f>
        <v>2024-08</v>
      </c>
      <c r="O901" s="1">
        <f xml:space="preserve"> (sales_data[[#This Row],[Sales]]* (100 - sales_data[[#This Row],[Discount]]))/100</f>
        <v>15941.902368963911</v>
      </c>
    </row>
    <row r="902" spans="1:15" x14ac:dyDescent="0.5">
      <c r="A902" s="1" t="s">
        <v>744</v>
      </c>
      <c r="B902" s="1" t="s">
        <v>14</v>
      </c>
      <c r="C902">
        <v>22150.208235955299</v>
      </c>
      <c r="D902">
        <v>10</v>
      </c>
      <c r="E902" s="2">
        <v>45506</v>
      </c>
      <c r="F902" s="1">
        <v>178</v>
      </c>
      <c r="G902" s="1">
        <v>84</v>
      </c>
      <c r="H902" s="1" t="s">
        <v>15</v>
      </c>
      <c r="I902" s="1" t="s">
        <v>33</v>
      </c>
      <c r="J902" s="1" t="s">
        <v>34</v>
      </c>
      <c r="K902" s="1" t="s">
        <v>25</v>
      </c>
      <c r="L902" s="5" t="s">
        <v>19</v>
      </c>
      <c r="M902" s="1" t="s">
        <v>55</v>
      </c>
      <c r="N902" s="1" t="str">
        <f>YEAR(sales_data[[#This Row],[Date]]) &amp; "-" &amp; TEXT(MONTH(sales_data[[#This Row],[Date]]), "00")</f>
        <v>2024-08</v>
      </c>
      <c r="O902" s="1">
        <f xml:space="preserve"> (sales_data[[#This Row],[Sales]]* (100 - sales_data[[#This Row],[Discount]]))/100</f>
        <v>19935.187412359766</v>
      </c>
    </row>
    <row r="903" spans="1:15" x14ac:dyDescent="0.5">
      <c r="A903" s="1" t="s">
        <v>63</v>
      </c>
      <c r="B903" s="1" t="s">
        <v>14</v>
      </c>
      <c r="C903">
        <v>23114.249661737402</v>
      </c>
      <c r="D903">
        <v>15</v>
      </c>
      <c r="E903" s="2">
        <v>45507</v>
      </c>
      <c r="F903" s="1">
        <v>196</v>
      </c>
      <c r="G903" s="1">
        <v>86</v>
      </c>
      <c r="H903" s="1" t="s">
        <v>15</v>
      </c>
      <c r="I903" s="1" t="s">
        <v>33</v>
      </c>
      <c r="J903" s="1" t="s">
        <v>34</v>
      </c>
      <c r="K903" s="1" t="s">
        <v>25</v>
      </c>
      <c r="L903" s="5" t="s">
        <v>38</v>
      </c>
      <c r="M903" s="1" t="s">
        <v>55</v>
      </c>
      <c r="N903" s="1" t="str">
        <f>YEAR(sales_data[[#This Row],[Date]]) &amp; "-" &amp; TEXT(MONTH(sales_data[[#This Row],[Date]]), "00")</f>
        <v>2024-08</v>
      </c>
      <c r="O903" s="1">
        <f xml:space="preserve"> (sales_data[[#This Row],[Sales]]* (100 - sales_data[[#This Row],[Discount]]))/100</f>
        <v>19647.11221247679</v>
      </c>
    </row>
    <row r="904" spans="1:15" x14ac:dyDescent="0.5">
      <c r="A904" s="1" t="s">
        <v>573</v>
      </c>
      <c r="B904" s="1" t="s">
        <v>50</v>
      </c>
      <c r="C904">
        <v>19523.522338065199</v>
      </c>
      <c r="D904">
        <v>10</v>
      </c>
      <c r="E904" s="2">
        <v>45507</v>
      </c>
      <c r="F904" s="1">
        <v>155</v>
      </c>
      <c r="G904" s="1">
        <v>54</v>
      </c>
      <c r="H904" s="1" t="s">
        <v>15</v>
      </c>
      <c r="I904" s="1" t="s">
        <v>16</v>
      </c>
      <c r="J904" s="1" t="s">
        <v>34</v>
      </c>
      <c r="K904" s="1" t="s">
        <v>18</v>
      </c>
      <c r="L904" s="5" t="s">
        <v>85</v>
      </c>
      <c r="M904" s="1" t="s">
        <v>20</v>
      </c>
      <c r="N904" s="1" t="str">
        <f>YEAR(sales_data[[#This Row],[Date]]) &amp; "-" &amp; TEXT(MONTH(sales_data[[#This Row],[Date]]), "00")</f>
        <v>2024-08</v>
      </c>
      <c r="O904" s="1">
        <f xml:space="preserve"> (sales_data[[#This Row],[Sales]]* (100 - sales_data[[#This Row],[Discount]]))/100</f>
        <v>17571.170104258679</v>
      </c>
    </row>
    <row r="905" spans="1:15" x14ac:dyDescent="0.5">
      <c r="A905" s="1" t="s">
        <v>684</v>
      </c>
      <c r="B905" s="1" t="s">
        <v>22</v>
      </c>
      <c r="C905">
        <v>22181.618348370099</v>
      </c>
      <c r="D905">
        <v>0</v>
      </c>
      <c r="E905" s="2">
        <v>45507</v>
      </c>
      <c r="F905" s="1">
        <v>142</v>
      </c>
      <c r="G905" s="1">
        <v>62</v>
      </c>
      <c r="H905" s="1" t="s">
        <v>15</v>
      </c>
      <c r="I905" s="1" t="s">
        <v>33</v>
      </c>
      <c r="J905" s="1" t="s">
        <v>17</v>
      </c>
      <c r="K905" s="1" t="s">
        <v>35</v>
      </c>
      <c r="L905" s="5" t="s">
        <v>36</v>
      </c>
      <c r="M905" s="1" t="s">
        <v>31</v>
      </c>
      <c r="N905" s="1" t="str">
        <f>YEAR(sales_data[[#This Row],[Date]]) &amp; "-" &amp; TEXT(MONTH(sales_data[[#This Row],[Date]]), "00")</f>
        <v>2024-08</v>
      </c>
      <c r="O905" s="1">
        <f xml:space="preserve"> (sales_data[[#This Row],[Sales]]* (100 - sales_data[[#This Row],[Discount]]))/100</f>
        <v>22181.618348370095</v>
      </c>
    </row>
    <row r="906" spans="1:15" x14ac:dyDescent="0.5">
      <c r="A906" s="1" t="s">
        <v>1019</v>
      </c>
      <c r="B906" s="1" t="s">
        <v>22</v>
      </c>
      <c r="C906">
        <v>19923.450754134999</v>
      </c>
      <c r="D906">
        <v>10</v>
      </c>
      <c r="E906" s="2">
        <v>45507</v>
      </c>
      <c r="F906" s="1">
        <v>183</v>
      </c>
      <c r="G906" s="1">
        <v>62</v>
      </c>
      <c r="H906" s="1" t="s">
        <v>15</v>
      </c>
      <c r="I906" s="1" t="s">
        <v>16</v>
      </c>
      <c r="J906" s="1" t="s">
        <v>34</v>
      </c>
      <c r="K906" s="1" t="s">
        <v>18</v>
      </c>
      <c r="L906" s="5" t="s">
        <v>58</v>
      </c>
      <c r="M906" s="1" t="s">
        <v>41</v>
      </c>
      <c r="N906" s="1" t="str">
        <f>YEAR(sales_data[[#This Row],[Date]]) &amp; "-" &amp; TEXT(MONTH(sales_data[[#This Row],[Date]]), "00")</f>
        <v>2024-08</v>
      </c>
      <c r="O906" s="1">
        <f xml:space="preserve"> (sales_data[[#This Row],[Sales]]* (100 - sales_data[[#This Row],[Discount]]))/100</f>
        <v>17931.105678721498</v>
      </c>
    </row>
    <row r="907" spans="1:15" x14ac:dyDescent="0.5">
      <c r="A907" s="1" t="s">
        <v>336</v>
      </c>
      <c r="B907" s="1" t="s">
        <v>14</v>
      </c>
      <c r="C907">
        <v>28761.352217118099</v>
      </c>
      <c r="D907">
        <v>0</v>
      </c>
      <c r="E907" s="2">
        <v>45508</v>
      </c>
      <c r="F907" s="1">
        <v>104</v>
      </c>
      <c r="G907" s="1">
        <v>42</v>
      </c>
      <c r="H907" s="1" t="s">
        <v>15</v>
      </c>
      <c r="I907" s="1" t="s">
        <v>33</v>
      </c>
      <c r="J907" s="1" t="s">
        <v>24</v>
      </c>
      <c r="K907" s="1" t="s">
        <v>25</v>
      </c>
      <c r="L907" s="5" t="s">
        <v>54</v>
      </c>
      <c r="M907" s="1" t="s">
        <v>44</v>
      </c>
      <c r="N907" s="1" t="str">
        <f>YEAR(sales_data[[#This Row],[Date]]) &amp; "-" &amp; TEXT(MONTH(sales_data[[#This Row],[Date]]), "00")</f>
        <v>2024-08</v>
      </c>
      <c r="O907" s="1">
        <f xml:space="preserve"> (sales_data[[#This Row],[Sales]]* (100 - sales_data[[#This Row],[Discount]]))/100</f>
        <v>28761.352217118096</v>
      </c>
    </row>
    <row r="908" spans="1:15" x14ac:dyDescent="0.5">
      <c r="A908" s="1" t="s">
        <v>739</v>
      </c>
      <c r="B908" s="1" t="s">
        <v>50</v>
      </c>
      <c r="C908">
        <v>18256.739327960699</v>
      </c>
      <c r="D908">
        <v>5</v>
      </c>
      <c r="E908" s="2">
        <v>45509</v>
      </c>
      <c r="F908" s="1">
        <v>128</v>
      </c>
      <c r="G908" s="1">
        <v>96</v>
      </c>
      <c r="H908" s="1" t="s">
        <v>15</v>
      </c>
      <c r="I908" s="1" t="s">
        <v>16</v>
      </c>
      <c r="J908" s="1" t="s">
        <v>24</v>
      </c>
      <c r="K908" s="1" t="s">
        <v>18</v>
      </c>
      <c r="L908" s="5" t="s">
        <v>36</v>
      </c>
      <c r="M908" s="1" t="s">
        <v>20</v>
      </c>
      <c r="N908" s="1" t="str">
        <f>YEAR(sales_data[[#This Row],[Date]]) &amp; "-" &amp; TEXT(MONTH(sales_data[[#This Row],[Date]]), "00")</f>
        <v>2024-08</v>
      </c>
      <c r="O908" s="1">
        <f xml:space="preserve"> (sales_data[[#This Row],[Sales]]* (100 - sales_data[[#This Row],[Discount]]))/100</f>
        <v>17343.902361562665</v>
      </c>
    </row>
    <row r="909" spans="1:15" x14ac:dyDescent="0.5">
      <c r="A909" s="1" t="s">
        <v>143</v>
      </c>
      <c r="B909" s="1" t="s">
        <v>50</v>
      </c>
      <c r="C909">
        <v>16218.246273578399</v>
      </c>
      <c r="D909">
        <v>0</v>
      </c>
      <c r="E909" s="2">
        <v>45511</v>
      </c>
      <c r="F909" s="1">
        <v>176</v>
      </c>
      <c r="G909" s="1">
        <v>76</v>
      </c>
      <c r="H909" s="1" t="s">
        <v>15</v>
      </c>
      <c r="I909" s="1" t="s">
        <v>16</v>
      </c>
      <c r="J909" s="1" t="s">
        <v>17</v>
      </c>
      <c r="K909" s="1" t="s">
        <v>35</v>
      </c>
      <c r="L909" s="5" t="s">
        <v>85</v>
      </c>
      <c r="M909" s="1" t="s">
        <v>41</v>
      </c>
      <c r="N909" s="1" t="str">
        <f>YEAR(sales_data[[#This Row],[Date]]) &amp; "-" &amp; TEXT(MONTH(sales_data[[#This Row],[Date]]), "00")</f>
        <v>2024-08</v>
      </c>
      <c r="O909" s="1">
        <f xml:space="preserve"> (sales_data[[#This Row],[Sales]]* (100 - sales_data[[#This Row],[Discount]]))/100</f>
        <v>16218.246273578399</v>
      </c>
    </row>
    <row r="910" spans="1:15" x14ac:dyDescent="0.5">
      <c r="A910" s="1" t="s">
        <v>851</v>
      </c>
      <c r="B910" s="1" t="s">
        <v>22</v>
      </c>
      <c r="C910">
        <v>0</v>
      </c>
      <c r="D910">
        <v>5</v>
      </c>
      <c r="E910" s="2">
        <v>45511</v>
      </c>
      <c r="F910" s="1">
        <v>181</v>
      </c>
      <c r="G910" s="1">
        <v>42</v>
      </c>
      <c r="H910" s="1" t="s">
        <v>15</v>
      </c>
      <c r="I910" s="1" t="s">
        <v>23</v>
      </c>
      <c r="J910" s="1" t="s">
        <v>17</v>
      </c>
      <c r="K910" s="1" t="s">
        <v>35</v>
      </c>
      <c r="L910" s="5" t="s">
        <v>43</v>
      </c>
      <c r="M910" s="1" t="s">
        <v>55</v>
      </c>
      <c r="N910" s="1" t="str">
        <f>YEAR(sales_data[[#This Row],[Date]]) &amp; "-" &amp; TEXT(MONTH(sales_data[[#This Row],[Date]]), "00")</f>
        <v>2024-08</v>
      </c>
      <c r="O910" s="1">
        <f xml:space="preserve"> (sales_data[[#This Row],[Sales]]* (100 - sales_data[[#This Row],[Discount]]))/100</f>
        <v>0</v>
      </c>
    </row>
    <row r="911" spans="1:15" x14ac:dyDescent="0.5">
      <c r="A911" s="1" t="s">
        <v>879</v>
      </c>
      <c r="B911" s="1" t="s">
        <v>29</v>
      </c>
      <c r="C911">
        <v>14062.0079048524</v>
      </c>
      <c r="D911">
        <v>5</v>
      </c>
      <c r="E911" s="2">
        <v>45511</v>
      </c>
      <c r="F911" s="1">
        <v>185</v>
      </c>
      <c r="G911" s="1">
        <v>64</v>
      </c>
      <c r="H911" s="1" t="s">
        <v>15</v>
      </c>
      <c r="I911" s="1" t="s">
        <v>23</v>
      </c>
      <c r="J911" s="1" t="s">
        <v>24</v>
      </c>
      <c r="K911" s="1" t="s">
        <v>35</v>
      </c>
      <c r="L911" s="5" t="s">
        <v>54</v>
      </c>
      <c r="M911" s="1" t="s">
        <v>41</v>
      </c>
      <c r="N911" s="1" t="str">
        <f>YEAR(sales_data[[#This Row],[Date]]) &amp; "-" &amp; TEXT(MONTH(sales_data[[#This Row],[Date]]), "00")</f>
        <v>2024-08</v>
      </c>
      <c r="O911" s="1">
        <f xml:space="preserve"> (sales_data[[#This Row],[Sales]]* (100 - sales_data[[#This Row],[Discount]]))/100</f>
        <v>13358.90750960978</v>
      </c>
    </row>
    <row r="912" spans="1:15" x14ac:dyDescent="0.5">
      <c r="A912" s="1" t="s">
        <v>884</v>
      </c>
      <c r="B912" s="1" t="s">
        <v>29</v>
      </c>
      <c r="C912">
        <v>19350.896501332802</v>
      </c>
      <c r="D912">
        <v>10</v>
      </c>
      <c r="E912" s="2">
        <v>45511</v>
      </c>
      <c r="F912" s="1">
        <v>135</v>
      </c>
      <c r="G912" s="1">
        <v>76</v>
      </c>
      <c r="H912" s="1" t="s">
        <v>38</v>
      </c>
      <c r="I912" s="1" t="s">
        <v>16</v>
      </c>
      <c r="J912" s="1" t="s">
        <v>34</v>
      </c>
      <c r="K912" s="1" t="s">
        <v>25</v>
      </c>
      <c r="L912" s="5" t="s">
        <v>46</v>
      </c>
      <c r="M912" s="1" t="s">
        <v>41</v>
      </c>
      <c r="N912" s="1" t="str">
        <f>YEAR(sales_data[[#This Row],[Date]]) &amp; "-" &amp; TEXT(MONTH(sales_data[[#This Row],[Date]]), "00")</f>
        <v>2024-08</v>
      </c>
      <c r="O912" s="1">
        <f xml:space="preserve"> (sales_data[[#This Row],[Sales]]* (100 - sales_data[[#This Row],[Discount]]))/100</f>
        <v>17415.806851199522</v>
      </c>
    </row>
    <row r="913" spans="1:15" x14ac:dyDescent="0.5">
      <c r="A913" s="1" t="s">
        <v>608</v>
      </c>
      <c r="B913" s="1" t="s">
        <v>14</v>
      </c>
      <c r="C913">
        <v>21216.697246613399</v>
      </c>
      <c r="D913">
        <v>5</v>
      </c>
      <c r="E913" s="2">
        <v>45513</v>
      </c>
      <c r="F913" s="1">
        <v>141</v>
      </c>
      <c r="G913" s="1">
        <v>36</v>
      </c>
      <c r="H913" s="1" t="s">
        <v>15</v>
      </c>
      <c r="I913" s="1" t="s">
        <v>33</v>
      </c>
      <c r="J913" s="1" t="s">
        <v>17</v>
      </c>
      <c r="K913" s="1" t="s">
        <v>25</v>
      </c>
      <c r="L913" s="5" t="s">
        <v>36</v>
      </c>
      <c r="M913" s="1" t="s">
        <v>55</v>
      </c>
      <c r="N913" s="1" t="str">
        <f>YEAR(sales_data[[#This Row],[Date]]) &amp; "-" &amp; TEXT(MONTH(sales_data[[#This Row],[Date]]), "00")</f>
        <v>2024-08</v>
      </c>
      <c r="O913" s="1">
        <f xml:space="preserve"> (sales_data[[#This Row],[Sales]]* (100 - sales_data[[#This Row],[Discount]]))/100</f>
        <v>20155.862384282729</v>
      </c>
    </row>
    <row r="914" spans="1:15" x14ac:dyDescent="0.5">
      <c r="A914" s="1" t="s">
        <v>698</v>
      </c>
      <c r="B914" s="1" t="s">
        <v>29</v>
      </c>
      <c r="C914">
        <v>25235.491513060701</v>
      </c>
      <c r="D914">
        <v>0</v>
      </c>
      <c r="E914" s="2">
        <v>45513</v>
      </c>
      <c r="F914" s="1">
        <v>126</v>
      </c>
      <c r="G914" s="1">
        <v>2</v>
      </c>
      <c r="H914" s="1" t="s">
        <v>15</v>
      </c>
      <c r="I914" s="1" t="s">
        <v>33</v>
      </c>
      <c r="J914" s="1" t="s">
        <v>17</v>
      </c>
      <c r="K914" s="1" t="s">
        <v>18</v>
      </c>
      <c r="L914" s="5" t="s">
        <v>85</v>
      </c>
      <c r="M914" s="1" t="s">
        <v>55</v>
      </c>
      <c r="N914" s="1" t="str">
        <f>YEAR(sales_data[[#This Row],[Date]]) &amp; "-" &amp; TEXT(MONTH(sales_data[[#This Row],[Date]]), "00")</f>
        <v>2024-08</v>
      </c>
      <c r="O914" s="1">
        <f xml:space="preserve"> (sales_data[[#This Row],[Sales]]* (100 - sales_data[[#This Row],[Discount]]))/100</f>
        <v>25235.491513060701</v>
      </c>
    </row>
    <row r="915" spans="1:15" x14ac:dyDescent="0.5">
      <c r="A915" s="1" t="s">
        <v>39</v>
      </c>
      <c r="B915" s="1" t="s">
        <v>40</v>
      </c>
      <c r="C915">
        <v>22459.595857532498</v>
      </c>
      <c r="D915">
        <v>15</v>
      </c>
      <c r="E915" s="2">
        <v>45515</v>
      </c>
      <c r="F915" s="1">
        <v>113</v>
      </c>
      <c r="G915" s="1">
        <v>72</v>
      </c>
      <c r="H915" s="1" t="s">
        <v>15</v>
      </c>
      <c r="I915" s="1" t="s">
        <v>23</v>
      </c>
      <c r="J915" s="1" t="s">
        <v>17</v>
      </c>
      <c r="K915" s="1" t="s">
        <v>18</v>
      </c>
      <c r="L915" s="5" t="s">
        <v>38</v>
      </c>
      <c r="M915" s="1" t="s">
        <v>41</v>
      </c>
      <c r="N915" s="1" t="str">
        <f>YEAR(sales_data[[#This Row],[Date]]) &amp; "-" &amp; TEXT(MONTH(sales_data[[#This Row],[Date]]), "00")</f>
        <v>2024-08</v>
      </c>
      <c r="O915" s="1">
        <f xml:space="preserve"> (sales_data[[#This Row],[Sales]]* (100 - sales_data[[#This Row],[Discount]]))/100</f>
        <v>19090.656478902623</v>
      </c>
    </row>
    <row r="916" spans="1:15" x14ac:dyDescent="0.5">
      <c r="A916" s="1" t="s">
        <v>121</v>
      </c>
      <c r="B916" s="1" t="s">
        <v>22</v>
      </c>
      <c r="C916">
        <v>16501.372460037001</v>
      </c>
      <c r="D916">
        <v>5</v>
      </c>
      <c r="E916" s="2">
        <v>45515</v>
      </c>
      <c r="F916" s="1">
        <v>165</v>
      </c>
      <c r="G916" s="1">
        <v>34</v>
      </c>
      <c r="H916" s="1" t="s">
        <v>15</v>
      </c>
      <c r="I916" s="1" t="s">
        <v>23</v>
      </c>
      <c r="J916" s="1" t="s">
        <v>17</v>
      </c>
      <c r="K916" s="1" t="s">
        <v>25</v>
      </c>
      <c r="L916" s="5" t="s">
        <v>30</v>
      </c>
      <c r="M916" s="1" t="s">
        <v>48</v>
      </c>
      <c r="N916" s="1" t="str">
        <f>YEAR(sales_data[[#This Row],[Date]]) &amp; "-" &amp; TEXT(MONTH(sales_data[[#This Row],[Date]]), "00")</f>
        <v>2024-08</v>
      </c>
      <c r="O916" s="1">
        <f xml:space="preserve"> (sales_data[[#This Row],[Sales]]* (100 - sales_data[[#This Row],[Discount]]))/100</f>
        <v>15676.303837035151</v>
      </c>
    </row>
    <row r="917" spans="1:15" x14ac:dyDescent="0.5">
      <c r="A917" s="1" t="s">
        <v>726</v>
      </c>
      <c r="B917" s="1" t="s">
        <v>29</v>
      </c>
      <c r="C917">
        <v>25804.133936892598</v>
      </c>
      <c r="D917">
        <v>10</v>
      </c>
      <c r="E917" s="2">
        <v>45515</v>
      </c>
      <c r="F917" s="1">
        <v>131</v>
      </c>
      <c r="G917" s="1">
        <v>45</v>
      </c>
      <c r="H917" s="1" t="s">
        <v>15</v>
      </c>
      <c r="I917" s="1" t="s">
        <v>33</v>
      </c>
      <c r="J917" s="1" t="s">
        <v>34</v>
      </c>
      <c r="K917" s="1" t="s">
        <v>25</v>
      </c>
      <c r="L917" s="5" t="s">
        <v>26</v>
      </c>
      <c r="M917" s="1" t="s">
        <v>20</v>
      </c>
      <c r="N917" s="1" t="str">
        <f>YEAR(sales_data[[#This Row],[Date]]) &amp; "-" &amp; TEXT(MONTH(sales_data[[#This Row],[Date]]), "00")</f>
        <v>2024-08</v>
      </c>
      <c r="O917" s="1">
        <f xml:space="preserve"> (sales_data[[#This Row],[Sales]]* (100 - sales_data[[#This Row],[Discount]]))/100</f>
        <v>23223.720543203341</v>
      </c>
    </row>
    <row r="918" spans="1:15" x14ac:dyDescent="0.5">
      <c r="A918" s="1" t="s">
        <v>133</v>
      </c>
      <c r="B918" s="1" t="s">
        <v>22</v>
      </c>
      <c r="C918">
        <v>28224.838567506398</v>
      </c>
      <c r="D918">
        <v>0</v>
      </c>
      <c r="E918" s="2">
        <v>45516</v>
      </c>
      <c r="F918" s="1">
        <v>114</v>
      </c>
      <c r="G918" s="1">
        <v>65</v>
      </c>
      <c r="H918" s="1" t="s">
        <v>15</v>
      </c>
      <c r="I918" s="1" t="s">
        <v>23</v>
      </c>
      <c r="J918" s="1" t="s">
        <v>34</v>
      </c>
      <c r="K918" s="1" t="s">
        <v>35</v>
      </c>
      <c r="L918" s="5" t="s">
        <v>38</v>
      </c>
      <c r="M918" s="1" t="s">
        <v>44</v>
      </c>
      <c r="N918" s="1" t="str">
        <f>YEAR(sales_data[[#This Row],[Date]]) &amp; "-" &amp; TEXT(MONTH(sales_data[[#This Row],[Date]]), "00")</f>
        <v>2024-08</v>
      </c>
      <c r="O918" s="1">
        <f xml:space="preserve"> (sales_data[[#This Row],[Sales]]* (100 - sales_data[[#This Row],[Discount]]))/100</f>
        <v>28224.838567506395</v>
      </c>
    </row>
    <row r="919" spans="1:15" x14ac:dyDescent="0.5">
      <c r="A919" s="1" t="s">
        <v>136</v>
      </c>
      <c r="B919" s="1" t="s">
        <v>22</v>
      </c>
      <c r="C919">
        <v>21556.250772717602</v>
      </c>
      <c r="D919">
        <v>5</v>
      </c>
      <c r="E919" s="2">
        <v>45518</v>
      </c>
      <c r="F919" s="1">
        <v>101</v>
      </c>
      <c r="G919" s="1">
        <v>80</v>
      </c>
      <c r="H919" s="1" t="s">
        <v>15</v>
      </c>
      <c r="I919" s="1" t="s">
        <v>33</v>
      </c>
      <c r="J919" s="1" t="s">
        <v>24</v>
      </c>
      <c r="K919" s="1" t="s">
        <v>25</v>
      </c>
      <c r="L919" s="5" t="s">
        <v>26</v>
      </c>
      <c r="M919" s="1" t="s">
        <v>31</v>
      </c>
      <c r="N919" s="1" t="str">
        <f>YEAR(sales_data[[#This Row],[Date]]) &amp; "-" &amp; TEXT(MONTH(sales_data[[#This Row],[Date]]), "00")</f>
        <v>2024-08</v>
      </c>
      <c r="O919" s="1">
        <f xml:space="preserve"> (sales_data[[#This Row],[Sales]]* (100 - sales_data[[#This Row],[Discount]]))/100</f>
        <v>20478.438234081721</v>
      </c>
    </row>
    <row r="920" spans="1:15" x14ac:dyDescent="0.5">
      <c r="A920" s="1" t="s">
        <v>65</v>
      </c>
      <c r="B920" s="1" t="s">
        <v>29</v>
      </c>
      <c r="C920">
        <v>19288.102574893499</v>
      </c>
      <c r="D920">
        <v>5</v>
      </c>
      <c r="E920" s="2">
        <v>45519</v>
      </c>
      <c r="F920" s="1">
        <v>138</v>
      </c>
      <c r="G920" s="1">
        <v>68</v>
      </c>
      <c r="H920" s="1" t="s">
        <v>15</v>
      </c>
      <c r="I920" s="1" t="s">
        <v>23</v>
      </c>
      <c r="J920" s="1" t="s">
        <v>34</v>
      </c>
      <c r="K920" s="1" t="s">
        <v>18</v>
      </c>
      <c r="L920" s="5" t="s">
        <v>54</v>
      </c>
      <c r="M920" s="1" t="s">
        <v>48</v>
      </c>
      <c r="N920" s="1" t="str">
        <f>YEAR(sales_data[[#This Row],[Date]]) &amp; "-" &amp; TEXT(MONTH(sales_data[[#This Row],[Date]]), "00")</f>
        <v>2024-08</v>
      </c>
      <c r="O920" s="1">
        <f xml:space="preserve"> (sales_data[[#This Row],[Sales]]* (100 - sales_data[[#This Row],[Discount]]))/100</f>
        <v>18323.697446148824</v>
      </c>
    </row>
    <row r="921" spans="1:15" x14ac:dyDescent="0.5">
      <c r="A921" s="1" t="s">
        <v>655</v>
      </c>
      <c r="B921" s="1" t="s">
        <v>29</v>
      </c>
      <c r="C921">
        <v>28988.432634247602</v>
      </c>
      <c r="D921">
        <v>15</v>
      </c>
      <c r="E921" s="2">
        <v>45519</v>
      </c>
      <c r="F921" s="1">
        <v>198</v>
      </c>
      <c r="G921" s="1">
        <v>45</v>
      </c>
      <c r="H921" s="1" t="s">
        <v>15</v>
      </c>
      <c r="I921" s="1" t="s">
        <v>33</v>
      </c>
      <c r="J921" s="1" t="s">
        <v>34</v>
      </c>
      <c r="K921" s="1" t="s">
        <v>18</v>
      </c>
      <c r="L921" s="5" t="s">
        <v>54</v>
      </c>
      <c r="M921" s="1" t="s">
        <v>55</v>
      </c>
      <c r="N921" s="1" t="str">
        <f>YEAR(sales_data[[#This Row],[Date]]) &amp; "-" &amp; TEXT(MONTH(sales_data[[#This Row],[Date]]), "00")</f>
        <v>2024-08</v>
      </c>
      <c r="O921" s="1">
        <f xml:space="preserve"> (sales_data[[#This Row],[Sales]]* (100 - sales_data[[#This Row],[Discount]]))/100</f>
        <v>24640.167739110464</v>
      </c>
    </row>
    <row r="922" spans="1:15" x14ac:dyDescent="0.5">
      <c r="A922" s="1" t="s">
        <v>1029</v>
      </c>
      <c r="B922" s="1" t="s">
        <v>22</v>
      </c>
      <c r="C922">
        <v>19135.2697003828</v>
      </c>
      <c r="D922">
        <v>15</v>
      </c>
      <c r="E922" s="2">
        <v>45519</v>
      </c>
      <c r="F922" s="1">
        <v>140</v>
      </c>
      <c r="G922" s="1">
        <v>87</v>
      </c>
      <c r="H922" s="1" t="s">
        <v>15</v>
      </c>
      <c r="I922" s="1" t="s">
        <v>33</v>
      </c>
      <c r="J922" s="1" t="s">
        <v>17</v>
      </c>
      <c r="K922" s="1" t="s">
        <v>25</v>
      </c>
      <c r="L922" s="5" t="s">
        <v>38</v>
      </c>
      <c r="M922" s="1" t="s">
        <v>31</v>
      </c>
      <c r="N922" s="1" t="str">
        <f>YEAR(sales_data[[#This Row],[Date]]) &amp; "-" &amp; TEXT(MONTH(sales_data[[#This Row],[Date]]), "00")</f>
        <v>2024-08</v>
      </c>
      <c r="O922" s="1">
        <f xml:space="preserve"> (sales_data[[#This Row],[Sales]]* (100 - sales_data[[#This Row],[Discount]]))/100</f>
        <v>16264.979245325381</v>
      </c>
    </row>
    <row r="923" spans="1:15" x14ac:dyDescent="0.5">
      <c r="A923" s="1" t="s">
        <v>185</v>
      </c>
      <c r="B923" s="1" t="s">
        <v>22</v>
      </c>
      <c r="C923">
        <v>11862.287810584099</v>
      </c>
      <c r="D923">
        <v>5</v>
      </c>
      <c r="E923" s="2">
        <v>45520</v>
      </c>
      <c r="F923" s="1">
        <v>198</v>
      </c>
      <c r="G923" s="1">
        <v>50</v>
      </c>
      <c r="H923" s="1" t="s">
        <v>15</v>
      </c>
      <c r="I923" s="1" t="s">
        <v>23</v>
      </c>
      <c r="J923" s="1" t="s">
        <v>17</v>
      </c>
      <c r="K923" s="1" t="s">
        <v>35</v>
      </c>
      <c r="L923" s="5" t="s">
        <v>54</v>
      </c>
      <c r="M923" s="1" t="s">
        <v>27</v>
      </c>
      <c r="N923" s="1" t="str">
        <f>YEAR(sales_data[[#This Row],[Date]]) &amp; "-" &amp; TEXT(MONTH(sales_data[[#This Row],[Date]]), "00")</f>
        <v>2024-08</v>
      </c>
      <c r="O923" s="1">
        <f xml:space="preserve"> (sales_data[[#This Row],[Sales]]* (100 - sales_data[[#This Row],[Discount]]))/100</f>
        <v>11269.173420054894</v>
      </c>
    </row>
    <row r="924" spans="1:15" x14ac:dyDescent="0.5">
      <c r="A924" s="1" t="s">
        <v>209</v>
      </c>
      <c r="B924" s="1" t="s">
        <v>50</v>
      </c>
      <c r="C924">
        <v>20432.948937364501</v>
      </c>
      <c r="D924">
        <v>5</v>
      </c>
      <c r="E924" s="2">
        <v>45520</v>
      </c>
      <c r="F924" s="1">
        <v>133</v>
      </c>
      <c r="G924" s="1">
        <v>82</v>
      </c>
      <c r="H924" s="1" t="s">
        <v>38</v>
      </c>
      <c r="I924" s="1" t="s">
        <v>16</v>
      </c>
      <c r="J924" s="1" t="s">
        <v>34</v>
      </c>
      <c r="K924" s="1" t="s">
        <v>18</v>
      </c>
      <c r="L924" s="5" t="s">
        <v>46</v>
      </c>
      <c r="M924" s="1" t="s">
        <v>27</v>
      </c>
      <c r="N924" s="1" t="str">
        <f>YEAR(sales_data[[#This Row],[Date]]) &amp; "-" &amp; TEXT(MONTH(sales_data[[#This Row],[Date]]), "00")</f>
        <v>2024-08</v>
      </c>
      <c r="O924" s="1">
        <f xml:space="preserve"> (sales_data[[#This Row],[Sales]]* (100 - sales_data[[#This Row],[Discount]]))/100</f>
        <v>19411.301490496277</v>
      </c>
    </row>
    <row r="925" spans="1:15" x14ac:dyDescent="0.5">
      <c r="A925" s="1" t="s">
        <v>550</v>
      </c>
      <c r="B925" s="1" t="s">
        <v>29</v>
      </c>
      <c r="C925">
        <v>22536.370155536399</v>
      </c>
      <c r="D925">
        <v>15</v>
      </c>
      <c r="E925" s="2">
        <v>45520</v>
      </c>
      <c r="F925" s="1">
        <v>140</v>
      </c>
      <c r="G925" s="1">
        <v>17</v>
      </c>
      <c r="H925" s="1" t="s">
        <v>15</v>
      </c>
      <c r="I925" s="1" t="s">
        <v>33</v>
      </c>
      <c r="J925" s="1" t="s">
        <v>17</v>
      </c>
      <c r="K925" s="1" t="s">
        <v>35</v>
      </c>
      <c r="L925" s="5" t="s">
        <v>46</v>
      </c>
      <c r="M925" s="1" t="s">
        <v>44</v>
      </c>
      <c r="N925" s="1" t="str">
        <f>YEAR(sales_data[[#This Row],[Date]]) &amp; "-" &amp; TEXT(MONTH(sales_data[[#This Row],[Date]]), "00")</f>
        <v>2024-08</v>
      </c>
      <c r="O925" s="1">
        <f xml:space="preserve"> (sales_data[[#This Row],[Sales]]* (100 - sales_data[[#This Row],[Discount]]))/100</f>
        <v>19155.914632205939</v>
      </c>
    </row>
    <row r="926" spans="1:15" x14ac:dyDescent="0.5">
      <c r="A926" s="1" t="s">
        <v>600</v>
      </c>
      <c r="B926" s="1" t="s">
        <v>22</v>
      </c>
      <c r="C926">
        <v>24362.2866414007</v>
      </c>
      <c r="D926">
        <v>15</v>
      </c>
      <c r="E926" s="2">
        <v>45520</v>
      </c>
      <c r="F926" s="1">
        <v>193</v>
      </c>
      <c r="G926" s="1">
        <v>48</v>
      </c>
      <c r="H926" s="1" t="s">
        <v>15</v>
      </c>
      <c r="I926" s="1" t="s">
        <v>16</v>
      </c>
      <c r="J926" s="1" t="s">
        <v>24</v>
      </c>
      <c r="K926" s="1" t="s">
        <v>18</v>
      </c>
      <c r="L926" s="5" t="s">
        <v>19</v>
      </c>
      <c r="M926" s="1" t="s">
        <v>20</v>
      </c>
      <c r="N926" s="1" t="str">
        <f>YEAR(sales_data[[#This Row],[Date]]) &amp; "-" &amp; TEXT(MONTH(sales_data[[#This Row],[Date]]), "00")</f>
        <v>2024-08</v>
      </c>
      <c r="O926" s="1">
        <f xml:space="preserve"> (sales_data[[#This Row],[Sales]]* (100 - sales_data[[#This Row],[Discount]]))/100</f>
        <v>20707.943645190593</v>
      </c>
    </row>
    <row r="927" spans="1:15" x14ac:dyDescent="0.5">
      <c r="A927" s="1" t="s">
        <v>931</v>
      </c>
      <c r="B927" s="1" t="s">
        <v>29</v>
      </c>
      <c r="C927">
        <v>14538.4361766371</v>
      </c>
      <c r="D927">
        <v>15</v>
      </c>
      <c r="E927" s="2">
        <v>45521</v>
      </c>
      <c r="F927" s="1">
        <v>167</v>
      </c>
      <c r="G927" s="1">
        <v>55</v>
      </c>
      <c r="H927" s="1" t="s">
        <v>15</v>
      </c>
      <c r="I927" s="1" t="s">
        <v>16</v>
      </c>
      <c r="J927" s="1" t="s">
        <v>17</v>
      </c>
      <c r="K927" s="1" t="s">
        <v>18</v>
      </c>
      <c r="L927" s="5" t="s">
        <v>38</v>
      </c>
      <c r="M927" s="1" t="s">
        <v>27</v>
      </c>
      <c r="N927" s="1" t="str">
        <f>YEAR(sales_data[[#This Row],[Date]]) &amp; "-" &amp; TEXT(MONTH(sales_data[[#This Row],[Date]]), "00")</f>
        <v>2024-08</v>
      </c>
      <c r="O927" s="1">
        <f xml:space="preserve"> (sales_data[[#This Row],[Sales]]* (100 - sales_data[[#This Row],[Discount]]))/100</f>
        <v>12357.670750141535</v>
      </c>
    </row>
    <row r="928" spans="1:15" x14ac:dyDescent="0.5">
      <c r="A928" s="1" t="s">
        <v>594</v>
      </c>
      <c r="B928" s="1" t="s">
        <v>14</v>
      </c>
      <c r="C928">
        <v>17489.7288782369</v>
      </c>
      <c r="D928">
        <v>15</v>
      </c>
      <c r="E928" s="2">
        <v>45522</v>
      </c>
      <c r="F928" s="1">
        <v>123</v>
      </c>
      <c r="G928" s="1">
        <v>53</v>
      </c>
      <c r="H928" s="1" t="s">
        <v>38</v>
      </c>
      <c r="I928" s="1" t="s">
        <v>16</v>
      </c>
      <c r="J928" s="1" t="s">
        <v>24</v>
      </c>
      <c r="K928" s="1" t="s">
        <v>35</v>
      </c>
      <c r="L928" s="5" t="s">
        <v>54</v>
      </c>
      <c r="M928" s="1" t="s">
        <v>55</v>
      </c>
      <c r="N928" s="1" t="str">
        <f>YEAR(sales_data[[#This Row],[Date]]) &amp; "-" &amp; TEXT(MONTH(sales_data[[#This Row],[Date]]), "00")</f>
        <v>2024-08</v>
      </c>
      <c r="O928" s="1">
        <f xml:space="preserve"> (sales_data[[#This Row],[Sales]]* (100 - sales_data[[#This Row],[Discount]]))/100</f>
        <v>14866.269546501364</v>
      </c>
    </row>
    <row r="929" spans="1:15" x14ac:dyDescent="0.5">
      <c r="A929" s="1" t="s">
        <v>620</v>
      </c>
      <c r="B929" s="1" t="s">
        <v>50</v>
      </c>
      <c r="C929">
        <v>26645.762650662102</v>
      </c>
      <c r="D929">
        <v>15</v>
      </c>
      <c r="E929" s="2">
        <v>45522</v>
      </c>
      <c r="F929" s="1">
        <v>181</v>
      </c>
      <c r="G929" s="1">
        <v>64</v>
      </c>
      <c r="H929" s="1" t="s">
        <v>15</v>
      </c>
      <c r="I929" s="1" t="s">
        <v>23</v>
      </c>
      <c r="J929" s="1" t="s">
        <v>34</v>
      </c>
      <c r="K929" s="1" t="s">
        <v>25</v>
      </c>
      <c r="L929" s="5" t="s">
        <v>43</v>
      </c>
      <c r="M929" s="1" t="s">
        <v>20</v>
      </c>
      <c r="N929" s="1" t="str">
        <f>YEAR(sales_data[[#This Row],[Date]]) &amp; "-" &amp; TEXT(MONTH(sales_data[[#This Row],[Date]]), "00")</f>
        <v>2024-08</v>
      </c>
      <c r="O929" s="1">
        <f xml:space="preserve"> (sales_data[[#This Row],[Sales]]* (100 - sales_data[[#This Row],[Discount]]))/100</f>
        <v>22648.898253062787</v>
      </c>
    </row>
    <row r="930" spans="1:15" x14ac:dyDescent="0.5">
      <c r="A930" s="1" t="s">
        <v>875</v>
      </c>
      <c r="B930" s="1" t="s">
        <v>29</v>
      </c>
      <c r="C930">
        <v>16632.546878780598</v>
      </c>
      <c r="D930">
        <v>10</v>
      </c>
      <c r="E930" s="2">
        <v>45522</v>
      </c>
      <c r="F930" s="1">
        <v>183</v>
      </c>
      <c r="G930" s="1">
        <v>74</v>
      </c>
      <c r="H930" s="1" t="s">
        <v>15</v>
      </c>
      <c r="I930" s="1" t="s">
        <v>23</v>
      </c>
      <c r="J930" s="1" t="s">
        <v>24</v>
      </c>
      <c r="K930" s="1" t="s">
        <v>35</v>
      </c>
      <c r="L930" s="5" t="s">
        <v>58</v>
      </c>
      <c r="M930" s="1" t="s">
        <v>48</v>
      </c>
      <c r="N930" s="1" t="str">
        <f>YEAR(sales_data[[#This Row],[Date]]) &amp; "-" &amp; TEXT(MONTH(sales_data[[#This Row],[Date]]), "00")</f>
        <v>2024-08</v>
      </c>
      <c r="O930" s="1">
        <f xml:space="preserve"> (sales_data[[#This Row],[Sales]]* (100 - sales_data[[#This Row],[Discount]]))/100</f>
        <v>14969.292190902539</v>
      </c>
    </row>
    <row r="931" spans="1:15" x14ac:dyDescent="0.5">
      <c r="A931" s="1" t="s">
        <v>42</v>
      </c>
      <c r="B931" s="1" t="s">
        <v>29</v>
      </c>
      <c r="C931">
        <v>13398.833964896699</v>
      </c>
      <c r="D931">
        <v>0</v>
      </c>
      <c r="E931" s="2">
        <v>45523</v>
      </c>
      <c r="F931" s="1">
        <v>134</v>
      </c>
      <c r="G931" s="1">
        <v>16</v>
      </c>
      <c r="H931" s="1" t="s">
        <v>38</v>
      </c>
      <c r="I931" s="1" t="s">
        <v>23</v>
      </c>
      <c r="J931" s="1" t="s">
        <v>34</v>
      </c>
      <c r="K931" s="1" t="s">
        <v>35</v>
      </c>
      <c r="L931" s="5" t="s">
        <v>43</v>
      </c>
      <c r="M931" s="1" t="s">
        <v>44</v>
      </c>
      <c r="N931" s="1" t="str">
        <f>YEAR(sales_data[[#This Row],[Date]]) &amp; "-" &amp; TEXT(MONTH(sales_data[[#This Row],[Date]]), "00")</f>
        <v>2024-08</v>
      </c>
      <c r="O931" s="1">
        <f xml:space="preserve"> (sales_data[[#This Row],[Sales]]* (100 - sales_data[[#This Row],[Discount]]))/100</f>
        <v>13398.833964896701</v>
      </c>
    </row>
    <row r="932" spans="1:15" x14ac:dyDescent="0.5">
      <c r="A932" s="1" t="s">
        <v>852</v>
      </c>
      <c r="B932" s="1" t="s">
        <v>29</v>
      </c>
      <c r="C932">
        <v>21598.909670712601</v>
      </c>
      <c r="D932">
        <v>15</v>
      </c>
      <c r="E932" s="2">
        <v>45523</v>
      </c>
      <c r="F932" s="1">
        <v>125</v>
      </c>
      <c r="G932" s="1">
        <v>84</v>
      </c>
      <c r="H932" s="1" t="s">
        <v>15</v>
      </c>
      <c r="I932" s="1" t="s">
        <v>23</v>
      </c>
      <c r="J932" s="1" t="s">
        <v>17</v>
      </c>
      <c r="K932" s="1" t="s">
        <v>25</v>
      </c>
      <c r="L932" s="5" t="s">
        <v>19</v>
      </c>
      <c r="M932" s="1" t="s">
        <v>31</v>
      </c>
      <c r="N932" s="1" t="str">
        <f>YEAR(sales_data[[#This Row],[Date]]) &amp; "-" &amp; TEXT(MONTH(sales_data[[#This Row],[Date]]), "00")</f>
        <v>2024-08</v>
      </c>
      <c r="O932" s="1">
        <f xml:space="preserve"> (sales_data[[#This Row],[Sales]]* (100 - sales_data[[#This Row],[Discount]]))/100</f>
        <v>18359.073220105711</v>
      </c>
    </row>
    <row r="933" spans="1:15" x14ac:dyDescent="0.5">
      <c r="A933" s="1" t="s">
        <v>531</v>
      </c>
      <c r="B933" s="1" t="s">
        <v>14</v>
      </c>
      <c r="C933">
        <v>13103.403859927301</v>
      </c>
      <c r="D933">
        <v>15</v>
      </c>
      <c r="E933" s="2">
        <v>45524</v>
      </c>
      <c r="F933" s="1">
        <v>181</v>
      </c>
      <c r="G933" s="1">
        <v>47</v>
      </c>
      <c r="H933" s="1" t="s">
        <v>15</v>
      </c>
      <c r="I933" s="1" t="s">
        <v>16</v>
      </c>
      <c r="J933" s="1" t="s">
        <v>34</v>
      </c>
      <c r="K933" s="1" t="s">
        <v>25</v>
      </c>
      <c r="L933" s="5" t="s">
        <v>46</v>
      </c>
      <c r="M933" s="1" t="s">
        <v>44</v>
      </c>
      <c r="N933" s="1" t="str">
        <f>YEAR(sales_data[[#This Row],[Date]]) &amp; "-" &amp; TEXT(MONTH(sales_data[[#This Row],[Date]]), "00")</f>
        <v>2024-08</v>
      </c>
      <c r="O933" s="1">
        <f xml:space="preserve"> (sales_data[[#This Row],[Sales]]* (100 - sales_data[[#This Row],[Discount]]))/100</f>
        <v>11137.893280938204</v>
      </c>
    </row>
    <row r="934" spans="1:15" x14ac:dyDescent="0.5">
      <c r="A934" s="1" t="s">
        <v>598</v>
      </c>
      <c r="B934" s="1" t="s">
        <v>22</v>
      </c>
      <c r="C934">
        <v>17179.606846316299</v>
      </c>
      <c r="D934">
        <v>15</v>
      </c>
      <c r="E934" s="2">
        <v>45524</v>
      </c>
      <c r="F934" s="1">
        <v>146</v>
      </c>
      <c r="G934" s="1">
        <v>18</v>
      </c>
      <c r="H934" s="1" t="s">
        <v>15</v>
      </c>
      <c r="I934" s="1" t="s">
        <v>23</v>
      </c>
      <c r="J934" s="1" t="s">
        <v>17</v>
      </c>
      <c r="K934" s="1" t="s">
        <v>18</v>
      </c>
      <c r="L934" s="5" t="s">
        <v>38</v>
      </c>
      <c r="M934" s="1" t="s">
        <v>27</v>
      </c>
      <c r="N934" s="1" t="str">
        <f>YEAR(sales_data[[#This Row],[Date]]) &amp; "-" &amp; TEXT(MONTH(sales_data[[#This Row],[Date]]), "00")</f>
        <v>2024-08</v>
      </c>
      <c r="O934" s="1">
        <f xml:space="preserve"> (sales_data[[#This Row],[Sales]]* (100 - sales_data[[#This Row],[Discount]]))/100</f>
        <v>14602.665819368854</v>
      </c>
    </row>
    <row r="935" spans="1:15" x14ac:dyDescent="0.5">
      <c r="A935" s="1" t="s">
        <v>197</v>
      </c>
      <c r="B935" s="1" t="s">
        <v>29</v>
      </c>
      <c r="C935">
        <v>25031.4640460722</v>
      </c>
      <c r="D935">
        <v>15</v>
      </c>
      <c r="E935" s="2">
        <v>45527</v>
      </c>
      <c r="F935" s="1">
        <v>178</v>
      </c>
      <c r="G935" s="1">
        <v>54</v>
      </c>
      <c r="H935" s="1" t="s">
        <v>15</v>
      </c>
      <c r="I935" s="1" t="s">
        <v>16</v>
      </c>
      <c r="J935" s="1" t="s">
        <v>17</v>
      </c>
      <c r="K935" s="1" t="s">
        <v>25</v>
      </c>
      <c r="L935" s="5" t="s">
        <v>30</v>
      </c>
      <c r="M935" s="1" t="s">
        <v>44</v>
      </c>
      <c r="N935" s="1" t="str">
        <f>YEAR(sales_data[[#This Row],[Date]]) &amp; "-" &amp; TEXT(MONTH(sales_data[[#This Row],[Date]]), "00")</f>
        <v>2024-08</v>
      </c>
      <c r="O935" s="1">
        <f xml:space="preserve"> (sales_data[[#This Row],[Sales]]* (100 - sales_data[[#This Row],[Discount]]))/100</f>
        <v>21276.744439161368</v>
      </c>
    </row>
    <row r="936" spans="1:15" x14ac:dyDescent="0.5">
      <c r="A936" s="1" t="s">
        <v>652</v>
      </c>
      <c r="B936" s="1" t="s">
        <v>22</v>
      </c>
      <c r="C936">
        <v>16590.078760011002</v>
      </c>
      <c r="D936">
        <v>15</v>
      </c>
      <c r="E936" s="2">
        <v>45527</v>
      </c>
      <c r="F936" s="1">
        <v>164</v>
      </c>
      <c r="G936" s="1">
        <v>8</v>
      </c>
      <c r="H936" s="1" t="s">
        <v>15</v>
      </c>
      <c r="I936" s="1" t="s">
        <v>33</v>
      </c>
      <c r="J936" s="1" t="s">
        <v>17</v>
      </c>
      <c r="K936" s="1" t="s">
        <v>25</v>
      </c>
      <c r="L936" s="5" t="s">
        <v>36</v>
      </c>
      <c r="M936" s="1" t="s">
        <v>41</v>
      </c>
      <c r="N936" s="1" t="str">
        <f>YEAR(sales_data[[#This Row],[Date]]) &amp; "-" &amp; TEXT(MONTH(sales_data[[#This Row],[Date]]), "00")</f>
        <v>2024-08</v>
      </c>
      <c r="O936" s="1">
        <f xml:space="preserve"> (sales_data[[#This Row],[Sales]]* (100 - sales_data[[#This Row],[Discount]]))/100</f>
        <v>14101.56694600935</v>
      </c>
    </row>
    <row r="937" spans="1:15" x14ac:dyDescent="0.5">
      <c r="A937" s="1" t="s">
        <v>476</v>
      </c>
      <c r="B937" s="1" t="s">
        <v>40</v>
      </c>
      <c r="C937">
        <v>24448.153978117101</v>
      </c>
      <c r="D937">
        <v>15</v>
      </c>
      <c r="E937" s="2">
        <v>45528</v>
      </c>
      <c r="F937" s="1">
        <v>138</v>
      </c>
      <c r="G937" s="1">
        <v>42</v>
      </c>
      <c r="H937" s="1" t="s">
        <v>15</v>
      </c>
      <c r="I937" s="1" t="s">
        <v>16</v>
      </c>
      <c r="J937" s="1" t="s">
        <v>24</v>
      </c>
      <c r="K937" s="1" t="s">
        <v>18</v>
      </c>
      <c r="L937" s="5" t="s">
        <v>26</v>
      </c>
      <c r="M937" s="1" t="s">
        <v>41</v>
      </c>
      <c r="N937" s="1" t="str">
        <f>YEAR(sales_data[[#This Row],[Date]]) &amp; "-" &amp; TEXT(MONTH(sales_data[[#This Row],[Date]]), "00")</f>
        <v>2024-08</v>
      </c>
      <c r="O937" s="1">
        <f xml:space="preserve"> (sales_data[[#This Row],[Sales]]* (100 - sales_data[[#This Row],[Discount]]))/100</f>
        <v>20780.930881399534</v>
      </c>
    </row>
    <row r="938" spans="1:15" x14ac:dyDescent="0.5">
      <c r="A938" s="1" t="s">
        <v>32</v>
      </c>
      <c r="B938" s="1" t="s">
        <v>14</v>
      </c>
      <c r="C938">
        <v>17115.481721687898</v>
      </c>
      <c r="D938">
        <v>5</v>
      </c>
      <c r="E938" s="2">
        <v>45529</v>
      </c>
      <c r="F938" s="1">
        <v>198</v>
      </c>
      <c r="G938" s="1">
        <v>54</v>
      </c>
      <c r="H938" s="1" t="s">
        <v>15</v>
      </c>
      <c r="I938" s="1" t="s">
        <v>33</v>
      </c>
      <c r="J938" s="1" t="s">
        <v>34</v>
      </c>
      <c r="K938" s="1" t="s">
        <v>35</v>
      </c>
      <c r="L938" s="5" t="s">
        <v>36</v>
      </c>
      <c r="M938" s="1" t="s">
        <v>27</v>
      </c>
      <c r="N938" s="1" t="str">
        <f>YEAR(sales_data[[#This Row],[Date]]) &amp; "-" &amp; TEXT(MONTH(sales_data[[#This Row],[Date]]), "00")</f>
        <v>2024-08</v>
      </c>
      <c r="O938" s="1">
        <f xml:space="preserve"> (sales_data[[#This Row],[Sales]]* (100 - sales_data[[#This Row],[Discount]]))/100</f>
        <v>16259.707635603503</v>
      </c>
    </row>
    <row r="939" spans="1:15" x14ac:dyDescent="0.5">
      <c r="A939" s="1" t="s">
        <v>212</v>
      </c>
      <c r="B939" s="1" t="s">
        <v>14</v>
      </c>
      <c r="C939">
        <v>21272.104216505999</v>
      </c>
      <c r="D939">
        <v>0</v>
      </c>
      <c r="E939" s="2">
        <v>45529</v>
      </c>
      <c r="F939" s="1">
        <v>136</v>
      </c>
      <c r="G939" s="1">
        <v>57</v>
      </c>
      <c r="H939" s="1" t="s">
        <v>15</v>
      </c>
      <c r="I939" s="1" t="s">
        <v>16</v>
      </c>
      <c r="J939" s="1" t="s">
        <v>17</v>
      </c>
      <c r="K939" s="1" t="s">
        <v>35</v>
      </c>
      <c r="L939" s="5" t="s">
        <v>38</v>
      </c>
      <c r="M939" s="1" t="s">
        <v>27</v>
      </c>
      <c r="N939" s="1" t="str">
        <f>YEAR(sales_data[[#This Row],[Date]]) &amp; "-" &amp; TEXT(MONTH(sales_data[[#This Row],[Date]]), "00")</f>
        <v>2024-08</v>
      </c>
      <c r="O939" s="1">
        <f xml:space="preserve"> (sales_data[[#This Row],[Sales]]* (100 - sales_data[[#This Row],[Discount]]))/100</f>
        <v>21272.104216505995</v>
      </c>
    </row>
    <row r="940" spans="1:15" x14ac:dyDescent="0.5">
      <c r="A940" s="1" t="s">
        <v>392</v>
      </c>
      <c r="B940" s="1" t="s">
        <v>22</v>
      </c>
      <c r="C940">
        <v>11487.0819788107</v>
      </c>
      <c r="D940">
        <v>15</v>
      </c>
      <c r="E940" s="2">
        <v>45529</v>
      </c>
      <c r="F940" s="1">
        <v>130</v>
      </c>
      <c r="G940" s="1">
        <v>59</v>
      </c>
      <c r="H940" s="1" t="s">
        <v>38</v>
      </c>
      <c r="I940" s="1" t="s">
        <v>33</v>
      </c>
      <c r="J940" s="1" t="s">
        <v>34</v>
      </c>
      <c r="K940" s="1" t="s">
        <v>35</v>
      </c>
      <c r="L940" s="5" t="s">
        <v>46</v>
      </c>
      <c r="M940" s="1" t="s">
        <v>31</v>
      </c>
      <c r="N940" s="1" t="str">
        <f>YEAR(sales_data[[#This Row],[Date]]) &amp; "-" &amp; TEXT(MONTH(sales_data[[#This Row],[Date]]), "00")</f>
        <v>2024-08</v>
      </c>
      <c r="O940" s="1">
        <f xml:space="preserve"> (sales_data[[#This Row],[Sales]]* (100 - sales_data[[#This Row],[Discount]]))/100</f>
        <v>9764.0196819890953</v>
      </c>
    </row>
    <row r="941" spans="1:15" x14ac:dyDescent="0.5">
      <c r="A941" s="1" t="s">
        <v>429</v>
      </c>
      <c r="B941" s="1" t="s">
        <v>29</v>
      </c>
      <c r="C941">
        <v>0</v>
      </c>
      <c r="D941">
        <v>15</v>
      </c>
      <c r="E941" s="2">
        <v>45530</v>
      </c>
      <c r="F941" s="1">
        <v>114</v>
      </c>
      <c r="G941" s="1">
        <v>5</v>
      </c>
      <c r="H941" s="1" t="s">
        <v>15</v>
      </c>
      <c r="I941" s="1" t="s">
        <v>23</v>
      </c>
      <c r="J941" s="1" t="s">
        <v>17</v>
      </c>
      <c r="K941" s="1" t="s">
        <v>35</v>
      </c>
      <c r="L941" s="5" t="s">
        <v>43</v>
      </c>
      <c r="M941" s="1" t="s">
        <v>31</v>
      </c>
      <c r="N941" s="1" t="str">
        <f>YEAR(sales_data[[#This Row],[Date]]) &amp; "-" &amp; TEXT(MONTH(sales_data[[#This Row],[Date]]), "00")</f>
        <v>2024-08</v>
      </c>
      <c r="O941" s="1">
        <f xml:space="preserve"> (sales_data[[#This Row],[Sales]]* (100 - sales_data[[#This Row],[Discount]]))/100</f>
        <v>0</v>
      </c>
    </row>
    <row r="942" spans="1:15" x14ac:dyDescent="0.5">
      <c r="A942" s="1" t="s">
        <v>82</v>
      </c>
      <c r="B942" s="1" t="s">
        <v>29</v>
      </c>
      <c r="C942">
        <v>23226.879747925701</v>
      </c>
      <c r="D942">
        <v>15</v>
      </c>
      <c r="E942" s="2">
        <v>45531</v>
      </c>
      <c r="F942" s="1">
        <v>154</v>
      </c>
      <c r="G942" s="1">
        <v>1</v>
      </c>
      <c r="H942" s="1" t="s">
        <v>15</v>
      </c>
      <c r="I942" s="1" t="s">
        <v>16</v>
      </c>
      <c r="J942" s="1" t="s">
        <v>34</v>
      </c>
      <c r="K942" s="1" t="s">
        <v>18</v>
      </c>
      <c r="L942" s="5" t="s">
        <v>46</v>
      </c>
      <c r="M942" s="1" t="s">
        <v>20</v>
      </c>
      <c r="N942" s="1" t="str">
        <f>YEAR(sales_data[[#This Row],[Date]]) &amp; "-" &amp; TEXT(MONTH(sales_data[[#This Row],[Date]]), "00")</f>
        <v>2024-08</v>
      </c>
      <c r="O942" s="1">
        <f xml:space="preserve"> (sales_data[[#This Row],[Sales]]* (100 - sales_data[[#This Row],[Discount]]))/100</f>
        <v>19742.847785736845</v>
      </c>
    </row>
    <row r="943" spans="1:15" x14ac:dyDescent="0.5">
      <c r="A943" s="1" t="s">
        <v>992</v>
      </c>
      <c r="B943" s="1" t="s">
        <v>22</v>
      </c>
      <c r="C943">
        <v>27453.6306842497</v>
      </c>
      <c r="D943">
        <v>10</v>
      </c>
      <c r="E943" s="2">
        <v>45531</v>
      </c>
      <c r="F943" s="1">
        <v>192</v>
      </c>
      <c r="G943" s="1">
        <v>94</v>
      </c>
      <c r="H943" s="1" t="s">
        <v>15</v>
      </c>
      <c r="I943" s="1" t="s">
        <v>23</v>
      </c>
      <c r="J943" s="1" t="s">
        <v>17</v>
      </c>
      <c r="K943" s="1" t="s">
        <v>25</v>
      </c>
      <c r="L943" s="5" t="s">
        <v>38</v>
      </c>
      <c r="M943" s="1" t="s">
        <v>20</v>
      </c>
      <c r="N943" s="1" t="str">
        <f>YEAR(sales_data[[#This Row],[Date]]) &amp; "-" &amp; TEXT(MONTH(sales_data[[#This Row],[Date]]), "00")</f>
        <v>2024-08</v>
      </c>
      <c r="O943" s="1">
        <f xml:space="preserve"> (sales_data[[#This Row],[Sales]]* (100 - sales_data[[#This Row],[Discount]]))/100</f>
        <v>24708.267615824727</v>
      </c>
    </row>
    <row r="944" spans="1:15" x14ac:dyDescent="0.5">
      <c r="A944" s="1" t="s">
        <v>634</v>
      </c>
      <c r="B944" s="1" t="s">
        <v>29</v>
      </c>
      <c r="C944">
        <v>10552.2963452723</v>
      </c>
      <c r="D944">
        <v>10</v>
      </c>
      <c r="E944" s="2">
        <v>45532</v>
      </c>
      <c r="F944" s="1">
        <v>199</v>
      </c>
      <c r="G944" s="1">
        <v>60</v>
      </c>
      <c r="H944" s="1" t="s">
        <v>15</v>
      </c>
      <c r="I944" s="1" t="s">
        <v>23</v>
      </c>
      <c r="J944" s="1" t="s">
        <v>34</v>
      </c>
      <c r="K944" s="1" t="s">
        <v>18</v>
      </c>
      <c r="L944" s="5" t="s">
        <v>54</v>
      </c>
      <c r="M944" s="1" t="s">
        <v>41</v>
      </c>
      <c r="N944" s="1" t="str">
        <f>YEAR(sales_data[[#This Row],[Date]]) &amp; "-" &amp; TEXT(MONTH(sales_data[[#This Row],[Date]]), "00")</f>
        <v>2024-08</v>
      </c>
      <c r="O944" s="1">
        <f xml:space="preserve"> (sales_data[[#This Row],[Sales]]* (100 - sales_data[[#This Row],[Discount]]))/100</f>
        <v>9497.0667107450699</v>
      </c>
    </row>
    <row r="945" spans="1:15" x14ac:dyDescent="0.5">
      <c r="A945" s="1" t="s">
        <v>834</v>
      </c>
      <c r="B945" s="1" t="s">
        <v>14</v>
      </c>
      <c r="C945">
        <v>18596.6246156661</v>
      </c>
      <c r="D945">
        <v>15</v>
      </c>
      <c r="E945" s="2">
        <v>45532</v>
      </c>
      <c r="F945" s="1">
        <v>140</v>
      </c>
      <c r="G945" s="1">
        <v>48</v>
      </c>
      <c r="H945" s="1" t="s">
        <v>15</v>
      </c>
      <c r="I945" s="1" t="s">
        <v>33</v>
      </c>
      <c r="J945" s="1" t="s">
        <v>24</v>
      </c>
      <c r="K945" s="1" t="s">
        <v>35</v>
      </c>
      <c r="L945" s="5" t="s">
        <v>30</v>
      </c>
      <c r="M945" s="1" t="s">
        <v>20</v>
      </c>
      <c r="N945" s="1" t="str">
        <f>YEAR(sales_data[[#This Row],[Date]]) &amp; "-" &amp; TEXT(MONTH(sales_data[[#This Row],[Date]]), "00")</f>
        <v>2024-08</v>
      </c>
      <c r="O945" s="1">
        <f xml:space="preserve"> (sales_data[[#This Row],[Sales]]* (100 - sales_data[[#This Row],[Discount]]))/100</f>
        <v>15807.130923316185</v>
      </c>
    </row>
    <row r="946" spans="1:15" x14ac:dyDescent="0.5">
      <c r="A946" s="1" t="s">
        <v>122</v>
      </c>
      <c r="B946" s="1" t="s">
        <v>22</v>
      </c>
      <c r="C946">
        <v>21069.899553671101</v>
      </c>
      <c r="D946">
        <v>5</v>
      </c>
      <c r="E946" s="2">
        <v>45533</v>
      </c>
      <c r="F946" s="1">
        <v>167</v>
      </c>
      <c r="G946" s="1">
        <v>61</v>
      </c>
      <c r="H946" s="1" t="s">
        <v>15</v>
      </c>
      <c r="I946" s="1" t="s">
        <v>16</v>
      </c>
      <c r="J946" s="1" t="s">
        <v>34</v>
      </c>
      <c r="K946" s="1" t="s">
        <v>18</v>
      </c>
      <c r="L946" s="5" t="s">
        <v>36</v>
      </c>
      <c r="M946" s="1" t="s">
        <v>31</v>
      </c>
      <c r="N946" s="1" t="str">
        <f>YEAR(sales_data[[#This Row],[Date]]) &amp; "-" &amp; TEXT(MONTH(sales_data[[#This Row],[Date]]), "00")</f>
        <v>2024-08</v>
      </c>
      <c r="O946" s="1">
        <f xml:space="preserve"> (sales_data[[#This Row],[Sales]]* (100 - sales_data[[#This Row],[Discount]]))/100</f>
        <v>20016.404575987548</v>
      </c>
    </row>
    <row r="947" spans="1:15" x14ac:dyDescent="0.5">
      <c r="A947" s="1" t="s">
        <v>204</v>
      </c>
      <c r="B947" s="1" t="s">
        <v>22</v>
      </c>
      <c r="C947">
        <v>16015.5237226476</v>
      </c>
      <c r="D947">
        <v>0</v>
      </c>
      <c r="E947" s="2">
        <v>45533</v>
      </c>
      <c r="F947" s="1">
        <v>156</v>
      </c>
      <c r="G947" s="1">
        <v>54</v>
      </c>
      <c r="H947" s="1" t="s">
        <v>15</v>
      </c>
      <c r="I947" s="1" t="s">
        <v>33</v>
      </c>
      <c r="J947" s="1" t="s">
        <v>24</v>
      </c>
      <c r="K947" s="1" t="s">
        <v>25</v>
      </c>
      <c r="L947" s="5" t="s">
        <v>58</v>
      </c>
      <c r="M947" s="1" t="s">
        <v>27</v>
      </c>
      <c r="N947" s="1" t="str">
        <f>YEAR(sales_data[[#This Row],[Date]]) &amp; "-" &amp; TEXT(MONTH(sales_data[[#This Row],[Date]]), "00")</f>
        <v>2024-08</v>
      </c>
      <c r="O947" s="1">
        <f xml:space="preserve"> (sales_data[[#This Row],[Sales]]* (100 - sales_data[[#This Row],[Discount]]))/100</f>
        <v>16015.5237226476</v>
      </c>
    </row>
    <row r="948" spans="1:15" x14ac:dyDescent="0.5">
      <c r="A948" s="1" t="s">
        <v>151</v>
      </c>
      <c r="B948" s="1" t="s">
        <v>50</v>
      </c>
      <c r="C948">
        <v>20386.841538238001</v>
      </c>
      <c r="D948">
        <v>15</v>
      </c>
      <c r="E948" s="2">
        <v>45534</v>
      </c>
      <c r="F948" s="1">
        <v>102</v>
      </c>
      <c r="G948" s="1">
        <v>44</v>
      </c>
      <c r="H948" s="1" t="s">
        <v>15</v>
      </c>
      <c r="I948" s="1" t="s">
        <v>33</v>
      </c>
      <c r="J948" s="1" t="s">
        <v>24</v>
      </c>
      <c r="K948" s="1" t="s">
        <v>25</v>
      </c>
      <c r="L948" s="5" t="s">
        <v>36</v>
      </c>
      <c r="M948" s="1" t="s">
        <v>31</v>
      </c>
      <c r="N948" s="1" t="str">
        <f>YEAR(sales_data[[#This Row],[Date]]) &amp; "-" &amp; TEXT(MONTH(sales_data[[#This Row],[Date]]), "00")</f>
        <v>2024-08</v>
      </c>
      <c r="O948" s="1">
        <f xml:space="preserve"> (sales_data[[#This Row],[Sales]]* (100 - sales_data[[#This Row],[Discount]]))/100</f>
        <v>17328.8153075023</v>
      </c>
    </row>
    <row r="949" spans="1:15" x14ac:dyDescent="0.5">
      <c r="A949" s="1" t="s">
        <v>235</v>
      </c>
      <c r="B949" s="1" t="s">
        <v>14</v>
      </c>
      <c r="C949">
        <v>21178.072790542799</v>
      </c>
      <c r="D949">
        <v>15</v>
      </c>
      <c r="E949" s="2">
        <v>45536</v>
      </c>
      <c r="F949" s="1">
        <v>168</v>
      </c>
      <c r="G949" s="1">
        <v>71</v>
      </c>
      <c r="H949" s="1" t="s">
        <v>15</v>
      </c>
      <c r="I949" s="1" t="s">
        <v>33</v>
      </c>
      <c r="J949" s="1" t="s">
        <v>24</v>
      </c>
      <c r="K949" s="1" t="s">
        <v>25</v>
      </c>
      <c r="L949" s="5" t="s">
        <v>46</v>
      </c>
      <c r="M949" s="1" t="s">
        <v>20</v>
      </c>
      <c r="N949" s="1" t="str">
        <f>YEAR(sales_data[[#This Row],[Date]]) &amp; "-" &amp; TEXT(MONTH(sales_data[[#This Row],[Date]]), "00")</f>
        <v>2024-09</v>
      </c>
      <c r="O949" s="1">
        <f xml:space="preserve"> (sales_data[[#This Row],[Sales]]* (100 - sales_data[[#This Row],[Discount]]))/100</f>
        <v>18001.361871961377</v>
      </c>
    </row>
    <row r="950" spans="1:15" x14ac:dyDescent="0.5">
      <c r="A950" s="1" t="s">
        <v>273</v>
      </c>
      <c r="B950" s="1" t="s">
        <v>29</v>
      </c>
      <c r="C950">
        <v>32228.759898084099</v>
      </c>
      <c r="D950">
        <v>0</v>
      </c>
      <c r="E950" s="2">
        <v>45536</v>
      </c>
      <c r="F950" s="1">
        <v>128</v>
      </c>
      <c r="G950" s="1">
        <v>96</v>
      </c>
      <c r="H950" s="1" t="s">
        <v>15</v>
      </c>
      <c r="I950" s="1" t="s">
        <v>23</v>
      </c>
      <c r="J950" s="1" t="s">
        <v>17</v>
      </c>
      <c r="K950" s="1" t="s">
        <v>25</v>
      </c>
      <c r="L950" s="5" t="s">
        <v>58</v>
      </c>
      <c r="M950" s="1" t="s">
        <v>41</v>
      </c>
      <c r="N950" s="1" t="str">
        <f>YEAR(sales_data[[#This Row],[Date]]) &amp; "-" &amp; TEXT(MONTH(sales_data[[#This Row],[Date]]), "00")</f>
        <v>2024-09</v>
      </c>
      <c r="O950" s="1">
        <f xml:space="preserve"> (sales_data[[#This Row],[Sales]]* (100 - sales_data[[#This Row],[Discount]]))/100</f>
        <v>32228.759898084099</v>
      </c>
    </row>
    <row r="951" spans="1:15" x14ac:dyDescent="0.5">
      <c r="A951" s="1" t="s">
        <v>451</v>
      </c>
      <c r="B951" s="1" t="s">
        <v>50</v>
      </c>
      <c r="C951">
        <v>21357.894185976798</v>
      </c>
      <c r="D951">
        <v>5</v>
      </c>
      <c r="E951" s="2">
        <v>45538</v>
      </c>
      <c r="F951" s="1">
        <v>171</v>
      </c>
      <c r="G951" s="1">
        <v>63</v>
      </c>
      <c r="H951" s="1" t="s">
        <v>15</v>
      </c>
      <c r="I951" s="1" t="s">
        <v>33</v>
      </c>
      <c r="J951" s="1" t="s">
        <v>34</v>
      </c>
      <c r="K951" s="1" t="s">
        <v>35</v>
      </c>
      <c r="L951" s="5" t="s">
        <v>85</v>
      </c>
      <c r="M951" s="1" t="s">
        <v>41</v>
      </c>
      <c r="N951" s="1" t="str">
        <f>YEAR(sales_data[[#This Row],[Date]]) &amp; "-" &amp; TEXT(MONTH(sales_data[[#This Row],[Date]]), "00")</f>
        <v>2024-09</v>
      </c>
      <c r="O951" s="1">
        <f xml:space="preserve"> (sales_data[[#This Row],[Sales]]* (100 - sales_data[[#This Row],[Discount]]))/100</f>
        <v>20289.99947667796</v>
      </c>
    </row>
    <row r="952" spans="1:15" x14ac:dyDescent="0.5">
      <c r="A952" s="1" t="s">
        <v>781</v>
      </c>
      <c r="B952" s="1" t="s">
        <v>40</v>
      </c>
      <c r="C952">
        <v>23193.6511101459</v>
      </c>
      <c r="D952">
        <v>10</v>
      </c>
      <c r="E952" s="2">
        <v>45538</v>
      </c>
      <c r="F952" s="1">
        <v>146</v>
      </c>
      <c r="G952" s="1">
        <v>43</v>
      </c>
      <c r="H952" s="1" t="s">
        <v>15</v>
      </c>
      <c r="I952" s="1" t="s">
        <v>16</v>
      </c>
      <c r="J952" s="1" t="s">
        <v>24</v>
      </c>
      <c r="K952" s="1" t="s">
        <v>18</v>
      </c>
      <c r="L952" s="5" t="s">
        <v>19</v>
      </c>
      <c r="M952" s="1" t="s">
        <v>44</v>
      </c>
      <c r="N952" s="1" t="str">
        <f>YEAR(sales_data[[#This Row],[Date]]) &amp; "-" &amp; TEXT(MONTH(sales_data[[#This Row],[Date]]), "00")</f>
        <v>2024-09</v>
      </c>
      <c r="O952" s="1">
        <f xml:space="preserve"> (sales_data[[#This Row],[Sales]]* (100 - sales_data[[#This Row],[Discount]]))/100</f>
        <v>20874.285999131309</v>
      </c>
    </row>
    <row r="953" spans="1:15" x14ac:dyDescent="0.5">
      <c r="A953" s="1" t="s">
        <v>370</v>
      </c>
      <c r="B953" s="1" t="s">
        <v>50</v>
      </c>
      <c r="C953">
        <v>19516.434440648001</v>
      </c>
      <c r="D953">
        <v>5</v>
      </c>
      <c r="E953" s="2">
        <v>45539</v>
      </c>
      <c r="F953" s="1">
        <v>146</v>
      </c>
      <c r="G953" s="1">
        <v>63</v>
      </c>
      <c r="H953" s="1" t="s">
        <v>15</v>
      </c>
      <c r="I953" s="1" t="s">
        <v>16</v>
      </c>
      <c r="J953" s="1" t="s">
        <v>24</v>
      </c>
      <c r="K953" s="1" t="s">
        <v>35</v>
      </c>
      <c r="L953" s="5" t="s">
        <v>36</v>
      </c>
      <c r="M953" s="1" t="s">
        <v>20</v>
      </c>
      <c r="N953" s="1" t="str">
        <f>YEAR(sales_data[[#This Row],[Date]]) &amp; "-" &amp; TEXT(MONTH(sales_data[[#This Row],[Date]]), "00")</f>
        <v>2024-09</v>
      </c>
      <c r="O953" s="1">
        <f xml:space="preserve"> (sales_data[[#This Row],[Sales]]* (100 - sales_data[[#This Row],[Discount]]))/100</f>
        <v>18540.612718615601</v>
      </c>
    </row>
    <row r="954" spans="1:15" x14ac:dyDescent="0.5">
      <c r="A954" s="1" t="s">
        <v>251</v>
      </c>
      <c r="B954" s="1" t="s">
        <v>22</v>
      </c>
      <c r="C954">
        <v>22394.8991287319</v>
      </c>
      <c r="D954">
        <v>5</v>
      </c>
      <c r="E954" s="2">
        <v>45540</v>
      </c>
      <c r="F954" s="1">
        <v>144</v>
      </c>
      <c r="G954" s="1">
        <v>91</v>
      </c>
      <c r="H954" s="1" t="s">
        <v>15</v>
      </c>
      <c r="I954" s="1" t="s">
        <v>23</v>
      </c>
      <c r="J954" s="1" t="s">
        <v>24</v>
      </c>
      <c r="K954" s="1" t="s">
        <v>35</v>
      </c>
      <c r="L954" s="5" t="s">
        <v>46</v>
      </c>
      <c r="M954" s="1" t="s">
        <v>27</v>
      </c>
      <c r="N954" s="1" t="str">
        <f>YEAR(sales_data[[#This Row],[Date]]) &amp; "-" &amp; TEXT(MONTH(sales_data[[#This Row],[Date]]), "00")</f>
        <v>2024-09</v>
      </c>
      <c r="O954" s="1">
        <f xml:space="preserve"> (sales_data[[#This Row],[Sales]]* (100 - sales_data[[#This Row],[Discount]]))/100</f>
        <v>21275.154172295304</v>
      </c>
    </row>
    <row r="955" spans="1:15" x14ac:dyDescent="0.5">
      <c r="A955" s="1" t="s">
        <v>606</v>
      </c>
      <c r="B955" s="1" t="s">
        <v>14</v>
      </c>
      <c r="C955">
        <v>16540.459650593701</v>
      </c>
      <c r="D955">
        <v>0</v>
      </c>
      <c r="E955" s="2">
        <v>45540</v>
      </c>
      <c r="F955" s="1">
        <v>111</v>
      </c>
      <c r="G955" s="1">
        <v>76</v>
      </c>
      <c r="H955" s="1" t="s">
        <v>15</v>
      </c>
      <c r="I955" s="1" t="s">
        <v>33</v>
      </c>
      <c r="J955" s="1" t="s">
        <v>24</v>
      </c>
      <c r="K955" s="1" t="s">
        <v>35</v>
      </c>
      <c r="L955" s="5" t="s">
        <v>30</v>
      </c>
      <c r="M955" s="1" t="s">
        <v>44</v>
      </c>
      <c r="N955" s="1" t="str">
        <f>YEAR(sales_data[[#This Row],[Date]]) &amp; "-" &amp; TEXT(MONTH(sales_data[[#This Row],[Date]]), "00")</f>
        <v>2024-09</v>
      </c>
      <c r="O955" s="1">
        <f xml:space="preserve"> (sales_data[[#This Row],[Sales]]* (100 - sales_data[[#This Row],[Discount]]))/100</f>
        <v>16540.459650593701</v>
      </c>
    </row>
    <row r="956" spans="1:15" x14ac:dyDescent="0.5">
      <c r="A956" s="1" t="s">
        <v>966</v>
      </c>
      <c r="B956" s="1" t="s">
        <v>14</v>
      </c>
      <c r="C956">
        <v>19954.405016778899</v>
      </c>
      <c r="D956">
        <v>0</v>
      </c>
      <c r="E956" s="2">
        <v>45540</v>
      </c>
      <c r="F956" s="1">
        <v>120</v>
      </c>
      <c r="G956" s="1">
        <v>19</v>
      </c>
      <c r="H956" s="1" t="s">
        <v>15</v>
      </c>
      <c r="I956" s="1" t="s">
        <v>23</v>
      </c>
      <c r="J956" s="1" t="s">
        <v>34</v>
      </c>
      <c r="K956" s="1" t="s">
        <v>18</v>
      </c>
      <c r="L956" s="5" t="s">
        <v>43</v>
      </c>
      <c r="M956" s="1" t="s">
        <v>41</v>
      </c>
      <c r="N956" s="1" t="str">
        <f>YEAR(sales_data[[#This Row],[Date]]) &amp; "-" &amp; TEXT(MONTH(sales_data[[#This Row],[Date]]), "00")</f>
        <v>2024-09</v>
      </c>
      <c r="O956" s="1">
        <f xml:space="preserve"> (sales_data[[#This Row],[Sales]]* (100 - sales_data[[#This Row],[Discount]]))/100</f>
        <v>19954.405016778899</v>
      </c>
    </row>
    <row r="957" spans="1:15" x14ac:dyDescent="0.5">
      <c r="A957" s="1" t="s">
        <v>287</v>
      </c>
      <c r="B957" s="1" t="s">
        <v>22</v>
      </c>
      <c r="C957">
        <v>20278.624561443401</v>
      </c>
      <c r="D957">
        <v>5</v>
      </c>
      <c r="E957" s="2">
        <v>45541</v>
      </c>
      <c r="F957" s="1">
        <v>152</v>
      </c>
      <c r="G957" s="1">
        <v>79</v>
      </c>
      <c r="H957" s="1" t="s">
        <v>15</v>
      </c>
      <c r="I957" s="1" t="s">
        <v>16</v>
      </c>
      <c r="J957" s="1" t="s">
        <v>34</v>
      </c>
      <c r="K957" s="1" t="s">
        <v>18</v>
      </c>
      <c r="L957" s="5" t="s">
        <v>30</v>
      </c>
      <c r="M957" s="1" t="s">
        <v>44</v>
      </c>
      <c r="N957" s="1" t="str">
        <f>YEAR(sales_data[[#This Row],[Date]]) &amp; "-" &amp; TEXT(MONTH(sales_data[[#This Row],[Date]]), "00")</f>
        <v>2024-09</v>
      </c>
      <c r="O957" s="1">
        <f xml:space="preserve"> (sales_data[[#This Row],[Sales]]* (100 - sales_data[[#This Row],[Discount]]))/100</f>
        <v>19264.69333337123</v>
      </c>
    </row>
    <row r="958" spans="1:15" x14ac:dyDescent="0.5">
      <c r="A958" s="1" t="s">
        <v>342</v>
      </c>
      <c r="B958" s="1" t="s">
        <v>14</v>
      </c>
      <c r="C958">
        <v>22446.872806139501</v>
      </c>
      <c r="D958">
        <v>10</v>
      </c>
      <c r="E958" s="2">
        <v>45541</v>
      </c>
      <c r="F958" s="1">
        <v>111</v>
      </c>
      <c r="G958" s="1">
        <v>96</v>
      </c>
      <c r="H958" s="1" t="s">
        <v>15</v>
      </c>
      <c r="I958" s="1" t="s">
        <v>33</v>
      </c>
      <c r="J958" s="1" t="s">
        <v>34</v>
      </c>
      <c r="K958" s="1" t="s">
        <v>25</v>
      </c>
      <c r="L958" s="5" t="s">
        <v>36</v>
      </c>
      <c r="M958" s="1" t="s">
        <v>31</v>
      </c>
      <c r="N958" s="1" t="str">
        <f>YEAR(sales_data[[#This Row],[Date]]) &amp; "-" &amp; TEXT(MONTH(sales_data[[#This Row],[Date]]), "00")</f>
        <v>2024-09</v>
      </c>
      <c r="O958" s="1">
        <f xml:space="preserve"> (sales_data[[#This Row],[Sales]]* (100 - sales_data[[#This Row],[Discount]]))/100</f>
        <v>20202.18552552555</v>
      </c>
    </row>
    <row r="959" spans="1:15" x14ac:dyDescent="0.5">
      <c r="A959" s="1" t="s">
        <v>426</v>
      </c>
      <c r="B959" s="1" t="s">
        <v>50</v>
      </c>
      <c r="C959">
        <v>28854.0031781775</v>
      </c>
      <c r="D959">
        <v>15</v>
      </c>
      <c r="E959" s="2">
        <v>45541</v>
      </c>
      <c r="F959" s="1">
        <v>124</v>
      </c>
      <c r="G959" s="1">
        <v>38</v>
      </c>
      <c r="H959" s="1" t="s">
        <v>15</v>
      </c>
      <c r="I959" s="1" t="s">
        <v>23</v>
      </c>
      <c r="J959" s="1" t="s">
        <v>17</v>
      </c>
      <c r="K959" s="1" t="s">
        <v>18</v>
      </c>
      <c r="L959" s="5" t="s">
        <v>43</v>
      </c>
      <c r="M959" s="1" t="s">
        <v>48</v>
      </c>
      <c r="N959" s="1" t="str">
        <f>YEAR(sales_data[[#This Row],[Date]]) &amp; "-" &amp; TEXT(MONTH(sales_data[[#This Row],[Date]]), "00")</f>
        <v>2024-09</v>
      </c>
      <c r="O959" s="1">
        <f xml:space="preserve"> (sales_data[[#This Row],[Sales]]* (100 - sales_data[[#This Row],[Discount]]))/100</f>
        <v>24525.902701450876</v>
      </c>
    </row>
    <row r="960" spans="1:15" x14ac:dyDescent="0.5">
      <c r="A960" s="1" t="s">
        <v>107</v>
      </c>
      <c r="B960" s="1" t="s">
        <v>29</v>
      </c>
      <c r="C960">
        <v>17430.665413316499</v>
      </c>
      <c r="D960">
        <v>0</v>
      </c>
      <c r="E960" s="2">
        <v>45543</v>
      </c>
      <c r="F960" s="1">
        <v>168</v>
      </c>
      <c r="G960" s="1">
        <v>67</v>
      </c>
      <c r="H960" s="1" t="s">
        <v>15</v>
      </c>
      <c r="I960" s="1" t="s">
        <v>16</v>
      </c>
      <c r="J960" s="1" t="s">
        <v>24</v>
      </c>
      <c r="K960" s="1" t="s">
        <v>18</v>
      </c>
      <c r="L960" s="5" t="s">
        <v>85</v>
      </c>
      <c r="M960" s="1" t="s">
        <v>31</v>
      </c>
      <c r="N960" s="1" t="str">
        <f>YEAR(sales_data[[#This Row],[Date]]) &amp; "-" &amp; TEXT(MONTH(sales_data[[#This Row],[Date]]), "00")</f>
        <v>2024-09</v>
      </c>
      <c r="O960" s="1">
        <f xml:space="preserve"> (sales_data[[#This Row],[Sales]]* (100 - sales_data[[#This Row],[Discount]]))/100</f>
        <v>17430.665413316499</v>
      </c>
    </row>
    <row r="961" spans="1:15" x14ac:dyDescent="0.5">
      <c r="A961" s="1" t="s">
        <v>170</v>
      </c>
      <c r="B961" s="1" t="s">
        <v>40</v>
      </c>
      <c r="C961">
        <v>19748.8094527543</v>
      </c>
      <c r="D961">
        <v>5</v>
      </c>
      <c r="E961" s="2">
        <v>45543</v>
      </c>
      <c r="F961" s="1">
        <v>178</v>
      </c>
      <c r="G961" s="1">
        <v>75</v>
      </c>
      <c r="H961" s="1" t="s">
        <v>15</v>
      </c>
      <c r="I961" s="1" t="s">
        <v>16</v>
      </c>
      <c r="J961" s="1" t="s">
        <v>34</v>
      </c>
      <c r="K961" s="1" t="s">
        <v>18</v>
      </c>
      <c r="L961" s="5" t="s">
        <v>26</v>
      </c>
      <c r="M961" s="1" t="s">
        <v>55</v>
      </c>
      <c r="N961" s="1" t="str">
        <f>YEAR(sales_data[[#This Row],[Date]]) &amp; "-" &amp; TEXT(MONTH(sales_data[[#This Row],[Date]]), "00")</f>
        <v>2024-09</v>
      </c>
      <c r="O961" s="1">
        <f xml:space="preserve"> (sales_data[[#This Row],[Sales]]* (100 - sales_data[[#This Row],[Discount]]))/100</f>
        <v>18761.368980116586</v>
      </c>
    </row>
    <row r="962" spans="1:15" x14ac:dyDescent="0.5">
      <c r="A962" s="1" t="s">
        <v>1025</v>
      </c>
      <c r="B962" s="1" t="s">
        <v>22</v>
      </c>
      <c r="C962">
        <v>19863.477302450301</v>
      </c>
      <c r="D962">
        <v>15</v>
      </c>
      <c r="E962" s="2">
        <v>45543</v>
      </c>
      <c r="F962" s="1">
        <v>191</v>
      </c>
      <c r="G962" s="1">
        <v>99</v>
      </c>
      <c r="H962" s="1" t="s">
        <v>15</v>
      </c>
      <c r="I962" s="1" t="s">
        <v>16</v>
      </c>
      <c r="J962" s="1" t="s">
        <v>17</v>
      </c>
      <c r="K962" s="1" t="s">
        <v>35</v>
      </c>
      <c r="L962" s="5" t="s">
        <v>46</v>
      </c>
      <c r="M962" s="1" t="s">
        <v>41</v>
      </c>
      <c r="N962" s="1" t="str">
        <f>YEAR(sales_data[[#This Row],[Date]]) &amp; "-" &amp; TEXT(MONTH(sales_data[[#This Row],[Date]]), "00")</f>
        <v>2024-09</v>
      </c>
      <c r="O962" s="1">
        <f xml:space="preserve"> (sales_data[[#This Row],[Sales]]* (100 - sales_data[[#This Row],[Discount]]))/100</f>
        <v>16883.955707082754</v>
      </c>
    </row>
    <row r="963" spans="1:15" x14ac:dyDescent="0.5">
      <c r="A963" s="1" t="s">
        <v>762</v>
      </c>
      <c r="B963" s="1" t="s">
        <v>22</v>
      </c>
      <c r="C963">
        <v>19302.051859224099</v>
      </c>
      <c r="D963">
        <v>10</v>
      </c>
      <c r="E963" s="2">
        <v>45544</v>
      </c>
      <c r="F963" s="1">
        <v>158</v>
      </c>
      <c r="G963" s="1">
        <v>48</v>
      </c>
      <c r="H963" s="1" t="s">
        <v>15</v>
      </c>
      <c r="I963" s="1" t="s">
        <v>33</v>
      </c>
      <c r="J963" s="1" t="s">
        <v>24</v>
      </c>
      <c r="K963" s="1" t="s">
        <v>35</v>
      </c>
      <c r="L963" s="5" t="s">
        <v>26</v>
      </c>
      <c r="M963" s="1" t="s">
        <v>20</v>
      </c>
      <c r="N963" s="1" t="str">
        <f>YEAR(sales_data[[#This Row],[Date]]) &amp; "-" &amp; TEXT(MONTH(sales_data[[#This Row],[Date]]), "00")</f>
        <v>2024-09</v>
      </c>
      <c r="O963" s="1">
        <f xml:space="preserve"> (sales_data[[#This Row],[Sales]]* (100 - sales_data[[#This Row],[Discount]]))/100</f>
        <v>17371.84667330169</v>
      </c>
    </row>
    <row r="964" spans="1:15" x14ac:dyDescent="0.5">
      <c r="A964" s="1" t="s">
        <v>889</v>
      </c>
      <c r="B964" s="1" t="s">
        <v>29</v>
      </c>
      <c r="C964">
        <v>17212.541074960802</v>
      </c>
      <c r="D964">
        <v>15</v>
      </c>
      <c r="E964" s="2">
        <v>45544</v>
      </c>
      <c r="F964" s="1">
        <v>184</v>
      </c>
      <c r="G964" s="1">
        <v>93</v>
      </c>
      <c r="H964" s="1" t="s">
        <v>15</v>
      </c>
      <c r="I964" s="1" t="s">
        <v>23</v>
      </c>
      <c r="J964" s="1" t="s">
        <v>24</v>
      </c>
      <c r="K964" s="1" t="s">
        <v>35</v>
      </c>
      <c r="L964" s="5" t="s">
        <v>85</v>
      </c>
      <c r="M964" s="1" t="s">
        <v>31</v>
      </c>
      <c r="N964" s="1" t="str">
        <f>YEAR(sales_data[[#This Row],[Date]]) &amp; "-" &amp; TEXT(MONTH(sales_data[[#This Row],[Date]]), "00")</f>
        <v>2024-09</v>
      </c>
      <c r="O964" s="1">
        <f xml:space="preserve"> (sales_data[[#This Row],[Sales]]* (100 - sales_data[[#This Row],[Discount]]))/100</f>
        <v>14630.659913716681</v>
      </c>
    </row>
    <row r="965" spans="1:15" x14ac:dyDescent="0.5">
      <c r="A965" s="1" t="s">
        <v>1008</v>
      </c>
      <c r="B965" s="1" t="s">
        <v>14</v>
      </c>
      <c r="C965">
        <v>18876.172990536499</v>
      </c>
      <c r="D965">
        <v>15</v>
      </c>
      <c r="E965" s="2">
        <v>45545</v>
      </c>
      <c r="F965" s="1">
        <v>156</v>
      </c>
      <c r="G965" s="1">
        <v>64</v>
      </c>
      <c r="H965" s="1" t="s">
        <v>15</v>
      </c>
      <c r="I965" s="1" t="s">
        <v>23</v>
      </c>
      <c r="J965" s="1" t="s">
        <v>34</v>
      </c>
      <c r="K965" s="1" t="s">
        <v>18</v>
      </c>
      <c r="L965" s="5" t="s">
        <v>38</v>
      </c>
      <c r="M965" s="1" t="s">
        <v>31</v>
      </c>
      <c r="N965" s="1" t="str">
        <f>YEAR(sales_data[[#This Row],[Date]]) &amp; "-" &amp; TEXT(MONTH(sales_data[[#This Row],[Date]]), "00")</f>
        <v>2024-09</v>
      </c>
      <c r="O965" s="1">
        <f xml:space="preserve"> (sales_data[[#This Row],[Sales]]* (100 - sales_data[[#This Row],[Discount]]))/100</f>
        <v>16044.747041956023</v>
      </c>
    </row>
    <row r="966" spans="1:15" x14ac:dyDescent="0.5">
      <c r="A966" s="1" t="s">
        <v>193</v>
      </c>
      <c r="B966" s="1" t="s">
        <v>29</v>
      </c>
      <c r="C966">
        <v>16740.819460989202</v>
      </c>
      <c r="D966">
        <v>15</v>
      </c>
      <c r="E966" s="2">
        <v>45546</v>
      </c>
      <c r="F966" s="1">
        <v>166</v>
      </c>
      <c r="G966" s="1">
        <v>68</v>
      </c>
      <c r="H966" s="1" t="s">
        <v>15</v>
      </c>
      <c r="I966" s="1" t="s">
        <v>16</v>
      </c>
      <c r="J966" s="1" t="s">
        <v>17</v>
      </c>
      <c r="K966" s="1" t="s">
        <v>25</v>
      </c>
      <c r="L966" s="5" t="s">
        <v>26</v>
      </c>
      <c r="M966" s="1" t="s">
        <v>27</v>
      </c>
      <c r="N966" s="1" t="str">
        <f>YEAR(sales_data[[#This Row],[Date]]) &amp; "-" &amp; TEXT(MONTH(sales_data[[#This Row],[Date]]), "00")</f>
        <v>2024-09</v>
      </c>
      <c r="O966" s="1">
        <f xml:space="preserve"> (sales_data[[#This Row],[Sales]]* (100 - sales_data[[#This Row],[Discount]]))/100</f>
        <v>14229.69654184082</v>
      </c>
    </row>
    <row r="967" spans="1:15" x14ac:dyDescent="0.5">
      <c r="A967" s="1" t="s">
        <v>355</v>
      </c>
      <c r="B967" s="1" t="s">
        <v>22</v>
      </c>
      <c r="C967">
        <v>21630.665111210499</v>
      </c>
      <c r="D967">
        <v>5</v>
      </c>
      <c r="E967" s="2">
        <v>45546</v>
      </c>
      <c r="F967" s="1">
        <v>161</v>
      </c>
      <c r="G967" s="1">
        <v>67</v>
      </c>
      <c r="H967" s="1" t="s">
        <v>15</v>
      </c>
      <c r="I967" s="1" t="s">
        <v>33</v>
      </c>
      <c r="J967" s="1" t="s">
        <v>17</v>
      </c>
      <c r="K967" s="1" t="s">
        <v>35</v>
      </c>
      <c r="L967" s="5" t="s">
        <v>58</v>
      </c>
      <c r="M967" s="1" t="s">
        <v>31</v>
      </c>
      <c r="N967" s="1" t="str">
        <f>YEAR(sales_data[[#This Row],[Date]]) &amp; "-" &amp; TEXT(MONTH(sales_data[[#This Row],[Date]]), "00")</f>
        <v>2024-09</v>
      </c>
      <c r="O967" s="1">
        <f xml:space="preserve"> (sales_data[[#This Row],[Sales]]* (100 - sales_data[[#This Row],[Discount]]))/100</f>
        <v>20549.131855649975</v>
      </c>
    </row>
    <row r="968" spans="1:15" x14ac:dyDescent="0.5">
      <c r="A968" s="1" t="s">
        <v>292</v>
      </c>
      <c r="B968" s="1" t="s">
        <v>29</v>
      </c>
      <c r="C968">
        <v>17865.594650262901</v>
      </c>
      <c r="D968">
        <v>15</v>
      </c>
      <c r="E968" s="2">
        <v>45547</v>
      </c>
      <c r="F968" s="1">
        <v>197</v>
      </c>
      <c r="G968" s="1">
        <v>21</v>
      </c>
      <c r="H968" s="1" t="s">
        <v>15</v>
      </c>
      <c r="I968" s="1" t="s">
        <v>16</v>
      </c>
      <c r="J968" s="1" t="s">
        <v>24</v>
      </c>
      <c r="K968" s="1" t="s">
        <v>18</v>
      </c>
      <c r="L968" s="5" t="s">
        <v>85</v>
      </c>
      <c r="M968" s="1" t="s">
        <v>48</v>
      </c>
      <c r="N968" s="1" t="str">
        <f>YEAR(sales_data[[#This Row],[Date]]) &amp; "-" &amp; TEXT(MONTH(sales_data[[#This Row],[Date]]), "00")</f>
        <v>2024-09</v>
      </c>
      <c r="O968" s="1">
        <f xml:space="preserve"> (sales_data[[#This Row],[Sales]]* (100 - sales_data[[#This Row],[Discount]]))/100</f>
        <v>15185.755452723466</v>
      </c>
    </row>
    <row r="969" spans="1:15" x14ac:dyDescent="0.5">
      <c r="A969" s="1" t="s">
        <v>490</v>
      </c>
      <c r="B969" s="1" t="s">
        <v>14</v>
      </c>
      <c r="C969">
        <v>15406.740267579</v>
      </c>
      <c r="D969">
        <v>5</v>
      </c>
      <c r="E969" s="2">
        <v>45547</v>
      </c>
      <c r="F969" s="1">
        <v>112</v>
      </c>
      <c r="G969" s="1">
        <v>13</v>
      </c>
      <c r="H969" s="1" t="s">
        <v>15</v>
      </c>
      <c r="I969" s="1" t="s">
        <v>16</v>
      </c>
      <c r="J969" s="1" t="s">
        <v>34</v>
      </c>
      <c r="K969" s="1" t="s">
        <v>25</v>
      </c>
      <c r="L969" s="5" t="s">
        <v>19</v>
      </c>
      <c r="M969" s="1" t="s">
        <v>31</v>
      </c>
      <c r="N969" s="1" t="str">
        <f>YEAR(sales_data[[#This Row],[Date]]) &amp; "-" &amp; TEXT(MONTH(sales_data[[#This Row],[Date]]), "00")</f>
        <v>2024-09</v>
      </c>
      <c r="O969" s="1">
        <f xml:space="preserve"> (sales_data[[#This Row],[Sales]]* (100 - sales_data[[#This Row],[Discount]]))/100</f>
        <v>14636.40325420005</v>
      </c>
    </row>
    <row r="970" spans="1:15" x14ac:dyDescent="0.5">
      <c r="A970" s="1" t="s">
        <v>693</v>
      </c>
      <c r="B970" s="1" t="s">
        <v>22</v>
      </c>
      <c r="C970">
        <v>17584.067688503099</v>
      </c>
      <c r="D970">
        <v>5</v>
      </c>
      <c r="E970" s="2">
        <v>45548</v>
      </c>
      <c r="F970" s="1">
        <v>146</v>
      </c>
      <c r="G970" s="1">
        <v>8</v>
      </c>
      <c r="H970" s="1" t="s">
        <v>15</v>
      </c>
      <c r="I970" s="1" t="s">
        <v>23</v>
      </c>
      <c r="J970" s="1" t="s">
        <v>34</v>
      </c>
      <c r="K970" s="1" t="s">
        <v>25</v>
      </c>
      <c r="L970" s="5" t="s">
        <v>30</v>
      </c>
      <c r="M970" s="1" t="s">
        <v>55</v>
      </c>
      <c r="N970" s="1" t="str">
        <f>YEAR(sales_data[[#This Row],[Date]]) &amp; "-" &amp; TEXT(MONTH(sales_data[[#This Row],[Date]]), "00")</f>
        <v>2024-09</v>
      </c>
      <c r="O970" s="1">
        <f xml:space="preserve"> (sales_data[[#This Row],[Sales]]* (100 - sales_data[[#This Row],[Discount]]))/100</f>
        <v>16704.864304077943</v>
      </c>
    </row>
    <row r="971" spans="1:15" x14ac:dyDescent="0.5">
      <c r="A971" s="1" t="s">
        <v>78</v>
      </c>
      <c r="B971" s="1" t="s">
        <v>50</v>
      </c>
      <c r="C971">
        <v>30303.7396244099</v>
      </c>
      <c r="D971">
        <v>10</v>
      </c>
      <c r="E971" s="2">
        <v>45549</v>
      </c>
      <c r="F971" s="1">
        <v>120</v>
      </c>
      <c r="G971" s="1">
        <v>15</v>
      </c>
      <c r="H971" s="1" t="s">
        <v>15</v>
      </c>
      <c r="I971" s="1" t="s">
        <v>16</v>
      </c>
      <c r="J971" s="1" t="s">
        <v>24</v>
      </c>
      <c r="K971" s="1" t="s">
        <v>25</v>
      </c>
      <c r="L971" s="5" t="s">
        <v>54</v>
      </c>
      <c r="M971" s="1" t="s">
        <v>31</v>
      </c>
      <c r="N971" s="1" t="str">
        <f>YEAR(sales_data[[#This Row],[Date]]) &amp; "-" &amp; TEXT(MONTH(sales_data[[#This Row],[Date]]), "00")</f>
        <v>2024-09</v>
      </c>
      <c r="O971" s="1">
        <f xml:space="preserve"> (sales_data[[#This Row],[Sales]]* (100 - sales_data[[#This Row],[Discount]]))/100</f>
        <v>27273.36566196891</v>
      </c>
    </row>
    <row r="972" spans="1:15" x14ac:dyDescent="0.5">
      <c r="A972" s="1" t="s">
        <v>585</v>
      </c>
      <c r="B972" s="1" t="s">
        <v>14</v>
      </c>
      <c r="C972">
        <v>17205.390763642001</v>
      </c>
      <c r="D972">
        <v>10</v>
      </c>
      <c r="E972" s="2">
        <v>45549</v>
      </c>
      <c r="F972" s="1">
        <v>188</v>
      </c>
      <c r="G972" s="1">
        <v>29</v>
      </c>
      <c r="H972" s="1" t="s">
        <v>15</v>
      </c>
      <c r="I972" s="1" t="s">
        <v>23</v>
      </c>
      <c r="J972" s="1" t="s">
        <v>17</v>
      </c>
      <c r="K972" s="1" t="s">
        <v>18</v>
      </c>
      <c r="L972" s="5" t="s">
        <v>38</v>
      </c>
      <c r="M972" s="1" t="s">
        <v>31</v>
      </c>
      <c r="N972" s="1" t="str">
        <f>YEAR(sales_data[[#This Row],[Date]]) &amp; "-" &amp; TEXT(MONTH(sales_data[[#This Row],[Date]]), "00")</f>
        <v>2024-09</v>
      </c>
      <c r="O972" s="1">
        <f xml:space="preserve"> (sales_data[[#This Row],[Sales]]* (100 - sales_data[[#This Row],[Discount]]))/100</f>
        <v>15484.8516872778</v>
      </c>
    </row>
    <row r="973" spans="1:15" x14ac:dyDescent="0.5">
      <c r="A973" s="1" t="s">
        <v>628</v>
      </c>
      <c r="B973" s="1" t="s">
        <v>50</v>
      </c>
      <c r="C973">
        <v>12846.1244894097</v>
      </c>
      <c r="D973">
        <v>0</v>
      </c>
      <c r="E973" s="2">
        <v>45549</v>
      </c>
      <c r="F973" s="1">
        <v>137</v>
      </c>
      <c r="G973" s="1">
        <v>64</v>
      </c>
      <c r="H973" s="1" t="s">
        <v>15</v>
      </c>
      <c r="I973" s="1" t="s">
        <v>16</v>
      </c>
      <c r="J973" s="1" t="s">
        <v>24</v>
      </c>
      <c r="K973" s="1" t="s">
        <v>25</v>
      </c>
      <c r="L973" s="5" t="s">
        <v>58</v>
      </c>
      <c r="M973" s="1" t="s">
        <v>31</v>
      </c>
      <c r="N973" s="1" t="str">
        <f>YEAR(sales_data[[#This Row],[Date]]) &amp; "-" &amp; TEXT(MONTH(sales_data[[#This Row],[Date]]), "00")</f>
        <v>2024-09</v>
      </c>
      <c r="O973" s="1">
        <f xml:space="preserve"> (sales_data[[#This Row],[Sales]]* (100 - sales_data[[#This Row],[Discount]]))/100</f>
        <v>12846.1244894097</v>
      </c>
    </row>
    <row r="974" spans="1:15" x14ac:dyDescent="0.5">
      <c r="A974" s="1" t="s">
        <v>691</v>
      </c>
      <c r="B974" s="1" t="s">
        <v>29</v>
      </c>
      <c r="C974">
        <v>21996.115613026301</v>
      </c>
      <c r="D974">
        <v>0</v>
      </c>
      <c r="E974" s="2">
        <v>45550</v>
      </c>
      <c r="F974" s="1">
        <v>127</v>
      </c>
      <c r="G974" s="1">
        <v>54</v>
      </c>
      <c r="H974" s="1" t="s">
        <v>15</v>
      </c>
      <c r="I974" s="1" t="s">
        <v>16</v>
      </c>
      <c r="J974" s="1" t="s">
        <v>24</v>
      </c>
      <c r="K974" s="1" t="s">
        <v>18</v>
      </c>
      <c r="L974" s="5" t="s">
        <v>85</v>
      </c>
      <c r="M974" s="1" t="s">
        <v>31</v>
      </c>
      <c r="N974" s="1" t="str">
        <f>YEAR(sales_data[[#This Row],[Date]]) &amp; "-" &amp; TEXT(MONTH(sales_data[[#This Row],[Date]]), "00")</f>
        <v>2024-09</v>
      </c>
      <c r="O974" s="1">
        <f xml:space="preserve"> (sales_data[[#This Row],[Sales]]* (100 - sales_data[[#This Row],[Discount]]))/100</f>
        <v>21996.115613026301</v>
      </c>
    </row>
    <row r="975" spans="1:15" x14ac:dyDescent="0.5">
      <c r="A975" s="1" t="s">
        <v>404</v>
      </c>
      <c r="B975" s="1" t="s">
        <v>14</v>
      </c>
      <c r="C975">
        <v>16371.2809342326</v>
      </c>
      <c r="D975">
        <v>5</v>
      </c>
      <c r="E975" s="2">
        <v>45551</v>
      </c>
      <c r="F975" s="1">
        <v>120</v>
      </c>
      <c r="G975" s="1">
        <v>98</v>
      </c>
      <c r="H975" s="1" t="s">
        <v>15</v>
      </c>
      <c r="I975" s="1" t="s">
        <v>16</v>
      </c>
      <c r="J975" s="1" t="s">
        <v>17</v>
      </c>
      <c r="K975" s="1" t="s">
        <v>18</v>
      </c>
      <c r="L975" s="5" t="s">
        <v>26</v>
      </c>
      <c r="M975" s="1" t="s">
        <v>41</v>
      </c>
      <c r="N975" s="1" t="str">
        <f>YEAR(sales_data[[#This Row],[Date]]) &amp; "-" &amp; TEXT(MONTH(sales_data[[#This Row],[Date]]), "00")</f>
        <v>2024-09</v>
      </c>
      <c r="O975" s="1">
        <f xml:space="preserve"> (sales_data[[#This Row],[Sales]]* (100 - sales_data[[#This Row],[Discount]]))/100</f>
        <v>15552.71688752097</v>
      </c>
    </row>
    <row r="976" spans="1:15" x14ac:dyDescent="0.5">
      <c r="A976" s="1" t="s">
        <v>597</v>
      </c>
      <c r="B976" s="1" t="s">
        <v>29</v>
      </c>
      <c r="C976">
        <v>21219.0035688559</v>
      </c>
      <c r="D976">
        <v>0</v>
      </c>
      <c r="E976" s="2">
        <v>45551</v>
      </c>
      <c r="F976" s="1">
        <v>167</v>
      </c>
      <c r="G976" s="1">
        <v>57</v>
      </c>
      <c r="H976" s="1" t="s">
        <v>15</v>
      </c>
      <c r="I976" s="1" t="s">
        <v>23</v>
      </c>
      <c r="J976" s="1" t="s">
        <v>17</v>
      </c>
      <c r="K976" s="1" t="s">
        <v>35</v>
      </c>
      <c r="L976" s="5" t="s">
        <v>46</v>
      </c>
      <c r="M976" s="1" t="s">
        <v>55</v>
      </c>
      <c r="N976" s="1" t="str">
        <f>YEAR(sales_data[[#This Row],[Date]]) &amp; "-" &amp; TEXT(MONTH(sales_data[[#This Row],[Date]]), "00")</f>
        <v>2024-09</v>
      </c>
      <c r="O976" s="1">
        <f xml:space="preserve"> (sales_data[[#This Row],[Sales]]* (100 - sales_data[[#This Row],[Discount]]))/100</f>
        <v>21219.0035688559</v>
      </c>
    </row>
    <row r="977" spans="1:15" x14ac:dyDescent="0.5">
      <c r="A977" s="1" t="s">
        <v>826</v>
      </c>
      <c r="B977" s="1" t="s">
        <v>14</v>
      </c>
      <c r="C977">
        <v>22819.545600261699</v>
      </c>
      <c r="D977">
        <v>0</v>
      </c>
      <c r="E977" s="2">
        <v>45551</v>
      </c>
      <c r="F977" s="1">
        <v>180</v>
      </c>
      <c r="G977" s="1">
        <v>19</v>
      </c>
      <c r="H977" s="1" t="s">
        <v>15</v>
      </c>
      <c r="I977" s="1" t="s">
        <v>33</v>
      </c>
      <c r="J977" s="1" t="s">
        <v>17</v>
      </c>
      <c r="K977" s="1" t="s">
        <v>18</v>
      </c>
      <c r="L977" s="5" t="s">
        <v>46</v>
      </c>
      <c r="M977" s="1" t="s">
        <v>41</v>
      </c>
      <c r="N977" s="1" t="str">
        <f>YEAR(sales_data[[#This Row],[Date]]) &amp; "-" &amp; TEXT(MONTH(sales_data[[#This Row],[Date]]), "00")</f>
        <v>2024-09</v>
      </c>
      <c r="O977" s="1">
        <f xml:space="preserve"> (sales_data[[#This Row],[Sales]]* (100 - sales_data[[#This Row],[Discount]]))/100</f>
        <v>22819.545600261699</v>
      </c>
    </row>
    <row r="978" spans="1:15" x14ac:dyDescent="0.5">
      <c r="A978" s="1" t="s">
        <v>178</v>
      </c>
      <c r="B978" s="1" t="s">
        <v>29</v>
      </c>
      <c r="C978">
        <v>23756.9356168589</v>
      </c>
      <c r="D978">
        <v>15</v>
      </c>
      <c r="E978" s="2">
        <v>45552</v>
      </c>
      <c r="F978" s="1">
        <v>123</v>
      </c>
      <c r="G978" s="1">
        <v>57</v>
      </c>
      <c r="H978" s="1" t="s">
        <v>15</v>
      </c>
      <c r="I978" s="1" t="s">
        <v>16</v>
      </c>
      <c r="J978" s="1" t="s">
        <v>24</v>
      </c>
      <c r="K978" s="1" t="s">
        <v>25</v>
      </c>
      <c r="L978" s="5" t="s">
        <v>54</v>
      </c>
      <c r="M978" s="1" t="s">
        <v>31</v>
      </c>
      <c r="N978" s="1" t="str">
        <f>YEAR(sales_data[[#This Row],[Date]]) &amp; "-" &amp; TEXT(MONTH(sales_data[[#This Row],[Date]]), "00")</f>
        <v>2024-09</v>
      </c>
      <c r="O978" s="1">
        <f xml:space="preserve"> (sales_data[[#This Row],[Sales]]* (100 - sales_data[[#This Row],[Discount]]))/100</f>
        <v>20193.395274330065</v>
      </c>
    </row>
    <row r="979" spans="1:15" x14ac:dyDescent="0.5">
      <c r="A979" s="1" t="s">
        <v>954</v>
      </c>
      <c r="B979" s="1" t="s">
        <v>50</v>
      </c>
      <c r="C979">
        <v>19505.551734044198</v>
      </c>
      <c r="D979">
        <v>0</v>
      </c>
      <c r="E979" s="2">
        <v>45552</v>
      </c>
      <c r="F979" s="1">
        <v>120</v>
      </c>
      <c r="G979" s="1">
        <v>79</v>
      </c>
      <c r="H979" s="1" t="s">
        <v>15</v>
      </c>
      <c r="I979" s="1" t="s">
        <v>16</v>
      </c>
      <c r="J979" s="1" t="s">
        <v>34</v>
      </c>
      <c r="K979" s="1" t="s">
        <v>25</v>
      </c>
      <c r="L979" s="5" t="s">
        <v>26</v>
      </c>
      <c r="M979" s="1" t="s">
        <v>27</v>
      </c>
      <c r="N979" s="1" t="str">
        <f>YEAR(sales_data[[#This Row],[Date]]) &amp; "-" &amp; TEXT(MONTH(sales_data[[#This Row],[Date]]), "00")</f>
        <v>2024-09</v>
      </c>
      <c r="O979" s="1">
        <f xml:space="preserve"> (sales_data[[#This Row],[Sales]]* (100 - sales_data[[#This Row],[Discount]]))/100</f>
        <v>19505.551734044198</v>
      </c>
    </row>
    <row r="980" spans="1:15" x14ac:dyDescent="0.5">
      <c r="A980" s="1" t="s">
        <v>575</v>
      </c>
      <c r="B980" s="1" t="s">
        <v>29</v>
      </c>
      <c r="C980">
        <v>23039.4825485826</v>
      </c>
      <c r="D980">
        <v>5</v>
      </c>
      <c r="E980" s="2">
        <v>45553</v>
      </c>
      <c r="F980" s="1">
        <v>150</v>
      </c>
      <c r="G980" s="1">
        <v>73</v>
      </c>
      <c r="H980" s="1" t="s">
        <v>15</v>
      </c>
      <c r="I980" s="1" t="s">
        <v>23</v>
      </c>
      <c r="J980" s="1" t="s">
        <v>17</v>
      </c>
      <c r="K980" s="1" t="s">
        <v>25</v>
      </c>
      <c r="L980" s="5" t="s">
        <v>26</v>
      </c>
      <c r="M980" s="1" t="s">
        <v>31</v>
      </c>
      <c r="N980" s="1" t="str">
        <f>YEAR(sales_data[[#This Row],[Date]]) &amp; "-" &amp; TEXT(MONTH(sales_data[[#This Row],[Date]]), "00")</f>
        <v>2024-09</v>
      </c>
      <c r="O980" s="1">
        <f xml:space="preserve"> (sales_data[[#This Row],[Sales]]* (100 - sales_data[[#This Row],[Discount]]))/100</f>
        <v>21887.508421153474</v>
      </c>
    </row>
    <row r="981" spans="1:15" x14ac:dyDescent="0.5">
      <c r="A981" s="1" t="s">
        <v>648</v>
      </c>
      <c r="B981" s="1" t="s">
        <v>50</v>
      </c>
      <c r="C981">
        <v>20134.429194972599</v>
      </c>
      <c r="D981">
        <v>15</v>
      </c>
      <c r="E981" s="2">
        <v>45553</v>
      </c>
      <c r="F981" s="1">
        <v>120</v>
      </c>
      <c r="G981" s="1">
        <v>79</v>
      </c>
      <c r="H981" s="1" t="s">
        <v>15</v>
      </c>
      <c r="I981" s="1" t="s">
        <v>33</v>
      </c>
      <c r="J981" s="1" t="s">
        <v>24</v>
      </c>
      <c r="K981" s="1" t="s">
        <v>18</v>
      </c>
      <c r="L981" s="5" t="s">
        <v>85</v>
      </c>
      <c r="M981" s="1" t="s">
        <v>31</v>
      </c>
      <c r="N981" s="1" t="str">
        <f>YEAR(sales_data[[#This Row],[Date]]) &amp; "-" &amp; TEXT(MONTH(sales_data[[#This Row],[Date]]), "00")</f>
        <v>2024-09</v>
      </c>
      <c r="O981" s="1">
        <f xml:space="preserve"> (sales_data[[#This Row],[Sales]]* (100 - sales_data[[#This Row],[Discount]]))/100</f>
        <v>17114.26481572671</v>
      </c>
    </row>
    <row r="982" spans="1:15" x14ac:dyDescent="0.5">
      <c r="A982" s="1" t="s">
        <v>308</v>
      </c>
      <c r="B982" s="1" t="s">
        <v>29</v>
      </c>
      <c r="C982">
        <v>23481.031824066999</v>
      </c>
      <c r="D982">
        <v>10</v>
      </c>
      <c r="E982" s="2">
        <v>45554</v>
      </c>
      <c r="F982" s="1">
        <v>110</v>
      </c>
      <c r="G982" s="1">
        <v>36</v>
      </c>
      <c r="H982" s="1" t="s">
        <v>15</v>
      </c>
      <c r="I982" s="1" t="s">
        <v>16</v>
      </c>
      <c r="J982" s="1" t="s">
        <v>24</v>
      </c>
      <c r="K982" s="1" t="s">
        <v>18</v>
      </c>
      <c r="L982" s="5" t="s">
        <v>36</v>
      </c>
      <c r="M982" s="1" t="s">
        <v>44</v>
      </c>
      <c r="N982" s="1" t="str">
        <f>YEAR(sales_data[[#This Row],[Date]]) &amp; "-" &amp; TEXT(MONTH(sales_data[[#This Row],[Date]]), "00")</f>
        <v>2024-09</v>
      </c>
      <c r="O982" s="1">
        <f xml:space="preserve"> (sales_data[[#This Row],[Sales]]* (100 - sales_data[[#This Row],[Discount]]))/100</f>
        <v>21132.928641660299</v>
      </c>
    </row>
    <row r="983" spans="1:15" x14ac:dyDescent="0.5">
      <c r="A983" s="1" t="s">
        <v>384</v>
      </c>
      <c r="B983" s="1" t="s">
        <v>22</v>
      </c>
      <c r="C983">
        <v>0</v>
      </c>
      <c r="D983">
        <v>10</v>
      </c>
      <c r="E983" s="2">
        <v>45554</v>
      </c>
      <c r="F983" s="1">
        <v>162</v>
      </c>
      <c r="G983" s="1">
        <v>60</v>
      </c>
      <c r="H983" s="1" t="s">
        <v>15</v>
      </c>
      <c r="I983" s="1" t="s">
        <v>23</v>
      </c>
      <c r="J983" s="1" t="s">
        <v>17</v>
      </c>
      <c r="K983" s="1" t="s">
        <v>35</v>
      </c>
      <c r="L983" s="5" t="s">
        <v>54</v>
      </c>
      <c r="M983" s="1" t="s">
        <v>27</v>
      </c>
      <c r="N983" s="1" t="str">
        <f>YEAR(sales_data[[#This Row],[Date]]) &amp; "-" &amp; TEXT(MONTH(sales_data[[#This Row],[Date]]), "00")</f>
        <v>2024-09</v>
      </c>
      <c r="O983" s="1">
        <f xml:space="preserve"> (sales_data[[#This Row],[Sales]]* (100 - sales_data[[#This Row],[Discount]]))/100</f>
        <v>0</v>
      </c>
    </row>
    <row r="984" spans="1:15" x14ac:dyDescent="0.5">
      <c r="A984" s="1" t="s">
        <v>84</v>
      </c>
      <c r="B984" s="1" t="s">
        <v>14</v>
      </c>
      <c r="C984">
        <v>15175.3826970994</v>
      </c>
      <c r="D984">
        <v>15</v>
      </c>
      <c r="E984" s="2">
        <v>45556</v>
      </c>
      <c r="F984" s="1">
        <v>138</v>
      </c>
      <c r="G984" s="1">
        <v>39</v>
      </c>
      <c r="H984" s="1" t="s">
        <v>15</v>
      </c>
      <c r="I984" s="1" t="s">
        <v>16</v>
      </c>
      <c r="J984" s="1" t="s">
        <v>34</v>
      </c>
      <c r="K984" s="1" t="s">
        <v>18</v>
      </c>
      <c r="L984" s="5" t="s">
        <v>85</v>
      </c>
      <c r="M984" s="1" t="s">
        <v>55</v>
      </c>
      <c r="N984" s="1" t="str">
        <f>YEAR(sales_data[[#This Row],[Date]]) &amp; "-" &amp; TEXT(MONTH(sales_data[[#This Row],[Date]]), "00")</f>
        <v>2024-09</v>
      </c>
      <c r="O984" s="1">
        <f xml:space="preserve"> (sales_data[[#This Row],[Sales]]* (100 - sales_data[[#This Row],[Discount]]))/100</f>
        <v>12899.075292534491</v>
      </c>
    </row>
    <row r="985" spans="1:15" x14ac:dyDescent="0.5">
      <c r="A985" s="1" t="s">
        <v>98</v>
      </c>
      <c r="B985" s="1" t="s">
        <v>22</v>
      </c>
      <c r="C985">
        <v>19722.261505516901</v>
      </c>
      <c r="D985">
        <v>10</v>
      </c>
      <c r="E985" s="2">
        <v>45556</v>
      </c>
      <c r="F985" s="1">
        <v>171</v>
      </c>
      <c r="G985" s="1">
        <v>81</v>
      </c>
      <c r="H985" s="1" t="s">
        <v>15</v>
      </c>
      <c r="I985" s="1" t="s">
        <v>16</v>
      </c>
      <c r="J985" s="1" t="s">
        <v>17</v>
      </c>
      <c r="K985" s="1" t="s">
        <v>35</v>
      </c>
      <c r="L985" s="5" t="s">
        <v>26</v>
      </c>
      <c r="M985" s="1" t="s">
        <v>44</v>
      </c>
      <c r="N985" s="1" t="str">
        <f>YEAR(sales_data[[#This Row],[Date]]) &amp; "-" &amp; TEXT(MONTH(sales_data[[#This Row],[Date]]), "00")</f>
        <v>2024-09</v>
      </c>
      <c r="O985" s="1">
        <f xml:space="preserve"> (sales_data[[#This Row],[Sales]]* (100 - sales_data[[#This Row],[Discount]]))/100</f>
        <v>17750.03535496521</v>
      </c>
    </row>
    <row r="986" spans="1:15" x14ac:dyDescent="0.5">
      <c r="A986" s="1" t="s">
        <v>689</v>
      </c>
      <c r="B986" s="1" t="s">
        <v>22</v>
      </c>
      <c r="C986">
        <v>18713.117312883202</v>
      </c>
      <c r="D986">
        <v>10</v>
      </c>
      <c r="E986" s="2">
        <v>45556</v>
      </c>
      <c r="F986" s="1">
        <v>164</v>
      </c>
      <c r="G986" s="1">
        <v>13</v>
      </c>
      <c r="H986" s="1" t="s">
        <v>15</v>
      </c>
      <c r="I986" s="1" t="s">
        <v>33</v>
      </c>
      <c r="J986" s="1" t="s">
        <v>24</v>
      </c>
      <c r="K986" s="1" t="s">
        <v>25</v>
      </c>
      <c r="L986" s="5" t="s">
        <v>58</v>
      </c>
      <c r="M986" s="1" t="s">
        <v>20</v>
      </c>
      <c r="N986" s="1" t="str">
        <f>YEAR(sales_data[[#This Row],[Date]]) &amp; "-" &amp; TEXT(MONTH(sales_data[[#This Row],[Date]]), "00")</f>
        <v>2024-09</v>
      </c>
      <c r="O986" s="1">
        <f xml:space="preserve"> (sales_data[[#This Row],[Sales]]* (100 - sales_data[[#This Row],[Discount]]))/100</f>
        <v>16841.805581594883</v>
      </c>
    </row>
    <row r="987" spans="1:15" x14ac:dyDescent="0.5">
      <c r="A987" s="1" t="s">
        <v>690</v>
      </c>
      <c r="B987" s="1" t="s">
        <v>29</v>
      </c>
      <c r="C987">
        <v>11657.079630611999</v>
      </c>
      <c r="D987">
        <v>15</v>
      </c>
      <c r="E987" s="2">
        <v>45556</v>
      </c>
      <c r="F987" s="1">
        <v>183</v>
      </c>
      <c r="G987" s="1">
        <v>11</v>
      </c>
      <c r="H987" s="1" t="s">
        <v>15</v>
      </c>
      <c r="I987" s="1" t="s">
        <v>33</v>
      </c>
      <c r="J987" s="1" t="s">
        <v>34</v>
      </c>
      <c r="K987" s="1" t="s">
        <v>25</v>
      </c>
      <c r="L987" s="5" t="s">
        <v>19</v>
      </c>
      <c r="M987" s="1" t="s">
        <v>31</v>
      </c>
      <c r="N987" s="1" t="str">
        <f>YEAR(sales_data[[#This Row],[Date]]) &amp; "-" &amp; TEXT(MONTH(sales_data[[#This Row],[Date]]), "00")</f>
        <v>2024-09</v>
      </c>
      <c r="O987" s="1">
        <f xml:space="preserve"> (sales_data[[#This Row],[Sales]]* (100 - sales_data[[#This Row],[Discount]]))/100</f>
        <v>9908.5176860201991</v>
      </c>
    </row>
    <row r="988" spans="1:15" x14ac:dyDescent="0.5">
      <c r="A988" s="1" t="s">
        <v>68</v>
      </c>
      <c r="B988" s="1" t="s">
        <v>22</v>
      </c>
      <c r="C988">
        <v>23558.074390444399</v>
      </c>
      <c r="D988">
        <v>0</v>
      </c>
      <c r="E988" s="2">
        <v>45557</v>
      </c>
      <c r="F988" s="1">
        <v>163</v>
      </c>
      <c r="G988" s="1">
        <v>25</v>
      </c>
      <c r="H988" s="1" t="s">
        <v>15</v>
      </c>
      <c r="I988" s="1" t="s">
        <v>23</v>
      </c>
      <c r="J988" s="1" t="s">
        <v>17</v>
      </c>
      <c r="K988" s="1" t="s">
        <v>35</v>
      </c>
      <c r="L988" s="5" t="s">
        <v>26</v>
      </c>
      <c r="M988" s="1" t="s">
        <v>31</v>
      </c>
      <c r="N988" s="1" t="str">
        <f>YEAR(sales_data[[#This Row],[Date]]) &amp; "-" &amp; TEXT(MONTH(sales_data[[#This Row],[Date]]), "00")</f>
        <v>2024-09</v>
      </c>
      <c r="O988" s="1">
        <f xml:space="preserve"> (sales_data[[#This Row],[Sales]]* (100 - sales_data[[#This Row],[Discount]]))/100</f>
        <v>23558.074390444395</v>
      </c>
    </row>
    <row r="989" spans="1:15" x14ac:dyDescent="0.5">
      <c r="A989" s="1" t="s">
        <v>469</v>
      </c>
      <c r="B989" s="1" t="s">
        <v>22</v>
      </c>
      <c r="C989">
        <v>19065.6417791932</v>
      </c>
      <c r="D989">
        <v>0</v>
      </c>
      <c r="E989" s="2">
        <v>45559</v>
      </c>
      <c r="F989" s="1">
        <v>165</v>
      </c>
      <c r="G989" s="1">
        <v>9</v>
      </c>
      <c r="H989" s="1" t="s">
        <v>15</v>
      </c>
      <c r="I989" s="1" t="s">
        <v>16</v>
      </c>
      <c r="J989" s="1" t="s">
        <v>34</v>
      </c>
      <c r="K989" s="1" t="s">
        <v>25</v>
      </c>
      <c r="L989" s="5" t="s">
        <v>43</v>
      </c>
      <c r="M989" s="1" t="s">
        <v>44</v>
      </c>
      <c r="N989" s="1" t="str">
        <f>YEAR(sales_data[[#This Row],[Date]]) &amp; "-" &amp; TEXT(MONTH(sales_data[[#This Row],[Date]]), "00")</f>
        <v>2024-09</v>
      </c>
      <c r="O989" s="1">
        <f xml:space="preserve"> (sales_data[[#This Row],[Sales]]* (100 - sales_data[[#This Row],[Discount]]))/100</f>
        <v>19065.6417791932</v>
      </c>
    </row>
    <row r="990" spans="1:15" x14ac:dyDescent="0.5">
      <c r="A990" s="1" t="s">
        <v>271</v>
      </c>
      <c r="B990" s="1" t="s">
        <v>29</v>
      </c>
      <c r="C990">
        <v>21399.8431315991</v>
      </c>
      <c r="D990">
        <v>5</v>
      </c>
      <c r="E990" s="2">
        <v>45560</v>
      </c>
      <c r="F990" s="1">
        <v>117</v>
      </c>
      <c r="G990" s="1">
        <v>73</v>
      </c>
      <c r="H990" s="1" t="s">
        <v>15</v>
      </c>
      <c r="I990" s="1" t="s">
        <v>33</v>
      </c>
      <c r="J990" s="1" t="s">
        <v>17</v>
      </c>
      <c r="K990" s="1" t="s">
        <v>35</v>
      </c>
      <c r="L990" s="5" t="s">
        <v>26</v>
      </c>
      <c r="M990" s="1" t="s">
        <v>55</v>
      </c>
      <c r="N990" s="1" t="str">
        <f>YEAR(sales_data[[#This Row],[Date]]) &amp; "-" &amp; TEXT(MONTH(sales_data[[#This Row],[Date]]), "00")</f>
        <v>2024-09</v>
      </c>
      <c r="O990" s="1">
        <f xml:space="preserve"> (sales_data[[#This Row],[Sales]]* (100 - sales_data[[#This Row],[Discount]]))/100</f>
        <v>20329.850975019144</v>
      </c>
    </row>
    <row r="991" spans="1:15" x14ac:dyDescent="0.5">
      <c r="A991" s="1" t="s">
        <v>360</v>
      </c>
      <c r="B991" s="1" t="s">
        <v>22</v>
      </c>
      <c r="C991">
        <v>25245.0461291844</v>
      </c>
      <c r="D991">
        <v>5</v>
      </c>
      <c r="E991" s="2">
        <v>45561</v>
      </c>
      <c r="F991" s="1">
        <v>174</v>
      </c>
      <c r="G991" s="1">
        <v>16</v>
      </c>
      <c r="H991" s="1" t="s">
        <v>38</v>
      </c>
      <c r="I991" s="1" t="s">
        <v>33</v>
      </c>
      <c r="J991" s="1" t="s">
        <v>34</v>
      </c>
      <c r="K991" s="1" t="s">
        <v>18</v>
      </c>
      <c r="L991" s="5" t="s">
        <v>38</v>
      </c>
      <c r="M991" s="1" t="s">
        <v>44</v>
      </c>
      <c r="N991" s="1" t="str">
        <f>YEAR(sales_data[[#This Row],[Date]]) &amp; "-" &amp; TEXT(MONTH(sales_data[[#This Row],[Date]]), "00")</f>
        <v>2024-09</v>
      </c>
      <c r="O991" s="1">
        <f xml:space="preserve"> (sales_data[[#This Row],[Sales]]* (100 - sales_data[[#This Row],[Discount]]))/100</f>
        <v>23982.793822725183</v>
      </c>
    </row>
    <row r="992" spans="1:15" x14ac:dyDescent="0.5">
      <c r="A992" s="1" t="s">
        <v>923</v>
      </c>
      <c r="B992" s="1" t="s">
        <v>29</v>
      </c>
      <c r="C992">
        <v>20846.804120180299</v>
      </c>
      <c r="D992">
        <v>0</v>
      </c>
      <c r="E992" s="2">
        <v>45561</v>
      </c>
      <c r="F992" s="1">
        <v>116</v>
      </c>
      <c r="G992" s="1">
        <v>20</v>
      </c>
      <c r="H992" s="1" t="s">
        <v>38</v>
      </c>
      <c r="I992" s="1" t="s">
        <v>23</v>
      </c>
      <c r="J992" s="1" t="s">
        <v>17</v>
      </c>
      <c r="K992" s="1" t="s">
        <v>18</v>
      </c>
      <c r="L992" s="5" t="s">
        <v>36</v>
      </c>
      <c r="M992" s="1" t="s">
        <v>55</v>
      </c>
      <c r="N992" s="1" t="str">
        <f>YEAR(sales_data[[#This Row],[Date]]) &amp; "-" &amp; TEXT(MONTH(sales_data[[#This Row],[Date]]), "00")</f>
        <v>2024-09</v>
      </c>
      <c r="O992" s="1">
        <f xml:space="preserve"> (sales_data[[#This Row],[Sales]]* (100 - sales_data[[#This Row],[Discount]]))/100</f>
        <v>20846.804120180299</v>
      </c>
    </row>
    <row r="993" spans="1:15" x14ac:dyDescent="0.5">
      <c r="A993" s="1" t="s">
        <v>267</v>
      </c>
      <c r="B993" s="1" t="s">
        <v>50</v>
      </c>
      <c r="C993">
        <v>11106.3987554786</v>
      </c>
      <c r="D993">
        <v>15</v>
      </c>
      <c r="E993" s="2">
        <v>45563</v>
      </c>
      <c r="F993" s="1">
        <v>134</v>
      </c>
      <c r="G993" s="1">
        <v>6</v>
      </c>
      <c r="H993" s="1" t="s">
        <v>38</v>
      </c>
      <c r="I993" s="1" t="s">
        <v>33</v>
      </c>
      <c r="J993" s="1" t="s">
        <v>24</v>
      </c>
      <c r="K993" s="1" t="s">
        <v>25</v>
      </c>
      <c r="L993" s="5" t="s">
        <v>30</v>
      </c>
      <c r="M993" s="1" t="s">
        <v>44</v>
      </c>
      <c r="N993" s="1" t="str">
        <f>YEAR(sales_data[[#This Row],[Date]]) &amp; "-" &amp; TEXT(MONTH(sales_data[[#This Row],[Date]]), "00")</f>
        <v>2024-09</v>
      </c>
      <c r="O993" s="1">
        <f xml:space="preserve"> (sales_data[[#This Row],[Sales]]* (100 - sales_data[[#This Row],[Discount]]))/100</f>
        <v>9440.4389421568103</v>
      </c>
    </row>
    <row r="994" spans="1:15" x14ac:dyDescent="0.5">
      <c r="A994" s="1" t="s">
        <v>325</v>
      </c>
      <c r="B994" s="1" t="s">
        <v>22</v>
      </c>
      <c r="C994">
        <v>18725.1139128957</v>
      </c>
      <c r="D994">
        <v>15</v>
      </c>
      <c r="E994" s="2">
        <v>45563</v>
      </c>
      <c r="F994" s="1">
        <v>163</v>
      </c>
      <c r="G994" s="1">
        <v>15</v>
      </c>
      <c r="H994" s="1" t="s">
        <v>15</v>
      </c>
      <c r="I994" s="1" t="s">
        <v>23</v>
      </c>
      <c r="J994" s="1" t="s">
        <v>17</v>
      </c>
      <c r="K994" s="1" t="s">
        <v>18</v>
      </c>
      <c r="L994" s="5" t="s">
        <v>54</v>
      </c>
      <c r="M994" s="1" t="s">
        <v>48</v>
      </c>
      <c r="N994" s="1" t="str">
        <f>YEAR(sales_data[[#This Row],[Date]]) &amp; "-" &amp; TEXT(MONTH(sales_data[[#This Row],[Date]]), "00")</f>
        <v>2024-09</v>
      </c>
      <c r="O994" s="1">
        <f xml:space="preserve"> (sales_data[[#This Row],[Sales]]* (100 - sales_data[[#This Row],[Discount]]))/100</f>
        <v>15916.346825961346</v>
      </c>
    </row>
    <row r="995" spans="1:15" x14ac:dyDescent="0.5">
      <c r="A995" s="1" t="s">
        <v>568</v>
      </c>
      <c r="B995" s="1" t="s">
        <v>14</v>
      </c>
      <c r="C995">
        <v>30816.273616527302</v>
      </c>
      <c r="D995">
        <v>5</v>
      </c>
      <c r="E995" s="2">
        <v>45563</v>
      </c>
      <c r="F995" s="1">
        <v>150</v>
      </c>
      <c r="G995" s="1">
        <v>29</v>
      </c>
      <c r="H995" s="1" t="s">
        <v>15</v>
      </c>
      <c r="I995" s="1" t="s">
        <v>23</v>
      </c>
      <c r="J995" s="1" t="s">
        <v>34</v>
      </c>
      <c r="K995" s="1" t="s">
        <v>35</v>
      </c>
      <c r="L995" s="5" t="s">
        <v>38</v>
      </c>
      <c r="M995" s="1" t="s">
        <v>55</v>
      </c>
      <c r="N995" s="1" t="str">
        <f>YEAR(sales_data[[#This Row],[Date]]) &amp; "-" &amp; TEXT(MONTH(sales_data[[#This Row],[Date]]), "00")</f>
        <v>2024-09</v>
      </c>
      <c r="O995" s="1">
        <f xml:space="preserve"> (sales_data[[#This Row],[Sales]]* (100 - sales_data[[#This Row],[Discount]]))/100</f>
        <v>29275.459935700936</v>
      </c>
    </row>
    <row r="996" spans="1:15" x14ac:dyDescent="0.5">
      <c r="A996" s="1" t="s">
        <v>1026</v>
      </c>
      <c r="B996" s="1" t="s">
        <v>22</v>
      </c>
      <c r="C996">
        <v>15333.660204633999</v>
      </c>
      <c r="D996">
        <v>5</v>
      </c>
      <c r="E996" s="2">
        <v>45563</v>
      </c>
      <c r="F996" s="1">
        <v>175</v>
      </c>
      <c r="G996" s="1">
        <v>44</v>
      </c>
      <c r="H996" s="1" t="s">
        <v>15</v>
      </c>
      <c r="I996" s="1" t="s">
        <v>23</v>
      </c>
      <c r="J996" s="1" t="s">
        <v>24</v>
      </c>
      <c r="K996" s="1" t="s">
        <v>25</v>
      </c>
      <c r="L996" s="5" t="s">
        <v>26</v>
      </c>
      <c r="M996" s="1" t="s">
        <v>48</v>
      </c>
      <c r="N996" s="1" t="str">
        <f>YEAR(sales_data[[#This Row],[Date]]) &amp; "-" &amp; TEXT(MONTH(sales_data[[#This Row],[Date]]), "00")</f>
        <v>2024-09</v>
      </c>
      <c r="O996" s="1">
        <f xml:space="preserve"> (sales_data[[#This Row],[Sales]]* (100 - sales_data[[#This Row],[Discount]]))/100</f>
        <v>14566.9771944023</v>
      </c>
    </row>
    <row r="997" spans="1:15" x14ac:dyDescent="0.5">
      <c r="A997" s="1" t="s">
        <v>189</v>
      </c>
      <c r="B997" s="1" t="s">
        <v>22</v>
      </c>
      <c r="C997">
        <v>23192.962293886801</v>
      </c>
      <c r="D997">
        <v>0</v>
      </c>
      <c r="E997" s="2">
        <v>45564</v>
      </c>
      <c r="F997" s="1">
        <v>129</v>
      </c>
      <c r="G997" s="1">
        <v>66</v>
      </c>
      <c r="H997" s="1" t="s">
        <v>15</v>
      </c>
      <c r="I997" s="1" t="s">
        <v>23</v>
      </c>
      <c r="J997" s="1" t="s">
        <v>17</v>
      </c>
      <c r="K997" s="1" t="s">
        <v>18</v>
      </c>
      <c r="L997" s="5" t="s">
        <v>46</v>
      </c>
      <c r="M997" s="1" t="s">
        <v>48</v>
      </c>
      <c r="N997" s="1" t="str">
        <f>YEAR(sales_data[[#This Row],[Date]]) &amp; "-" &amp; TEXT(MONTH(sales_data[[#This Row],[Date]]), "00")</f>
        <v>2024-09</v>
      </c>
      <c r="O997" s="1">
        <f xml:space="preserve"> (sales_data[[#This Row],[Sales]]* (100 - sales_data[[#This Row],[Discount]]))/100</f>
        <v>23192.962293886801</v>
      </c>
    </row>
    <row r="998" spans="1:15" x14ac:dyDescent="0.5">
      <c r="A998" s="1" t="s">
        <v>400</v>
      </c>
      <c r="B998" s="1" t="s">
        <v>40</v>
      </c>
      <c r="C998">
        <v>13602.1151663214</v>
      </c>
      <c r="D998">
        <v>15</v>
      </c>
      <c r="E998" s="2">
        <v>45564</v>
      </c>
      <c r="F998" s="1">
        <v>153</v>
      </c>
      <c r="G998" s="1">
        <v>37</v>
      </c>
      <c r="H998" s="1" t="s">
        <v>15</v>
      </c>
      <c r="I998" s="1" t="s">
        <v>16</v>
      </c>
      <c r="J998" s="1" t="s">
        <v>17</v>
      </c>
      <c r="K998" s="1" t="s">
        <v>35</v>
      </c>
      <c r="L998" s="5" t="s">
        <v>36</v>
      </c>
      <c r="M998" s="1" t="s">
        <v>31</v>
      </c>
      <c r="N998" s="1" t="str">
        <f>YEAR(sales_data[[#This Row],[Date]]) &amp; "-" &amp; TEXT(MONTH(sales_data[[#This Row],[Date]]), "00")</f>
        <v>2024-09</v>
      </c>
      <c r="O998" s="1">
        <f xml:space="preserve"> (sales_data[[#This Row],[Sales]]* (100 - sales_data[[#This Row],[Discount]]))/100</f>
        <v>11561.797891373189</v>
      </c>
    </row>
    <row r="999" spans="1:15" x14ac:dyDescent="0.5">
      <c r="A999" s="1" t="s">
        <v>529</v>
      </c>
      <c r="B999" s="1" t="s">
        <v>29</v>
      </c>
      <c r="C999">
        <v>19115.2638625297</v>
      </c>
      <c r="D999">
        <v>10</v>
      </c>
      <c r="E999" s="2">
        <v>45564</v>
      </c>
      <c r="F999" s="1">
        <v>177</v>
      </c>
      <c r="G999" s="1">
        <v>74</v>
      </c>
      <c r="H999" s="1" t="s">
        <v>15</v>
      </c>
      <c r="I999" s="1" t="s">
        <v>16</v>
      </c>
      <c r="J999" s="1" t="s">
        <v>34</v>
      </c>
      <c r="K999" s="1" t="s">
        <v>18</v>
      </c>
      <c r="L999" s="5" t="s">
        <v>46</v>
      </c>
      <c r="M999" s="1" t="s">
        <v>41</v>
      </c>
      <c r="N999" s="1" t="str">
        <f>YEAR(sales_data[[#This Row],[Date]]) &amp; "-" &amp; TEXT(MONTH(sales_data[[#This Row],[Date]]), "00")</f>
        <v>2024-09</v>
      </c>
      <c r="O999" s="1">
        <f xml:space="preserve"> (sales_data[[#This Row],[Sales]]* (100 - sales_data[[#This Row],[Discount]]))/100</f>
        <v>17203.737476276729</v>
      </c>
    </row>
    <row r="1000" spans="1:15" x14ac:dyDescent="0.5">
      <c r="A1000" s="1" t="s">
        <v>580</v>
      </c>
      <c r="B1000" s="1" t="s">
        <v>50</v>
      </c>
      <c r="C1000">
        <v>14867.423502944601</v>
      </c>
      <c r="D1000">
        <v>10</v>
      </c>
      <c r="E1000" s="2">
        <v>45565</v>
      </c>
      <c r="F1000" s="1">
        <v>189</v>
      </c>
      <c r="G1000" s="1">
        <v>80</v>
      </c>
      <c r="H1000" s="1" t="s">
        <v>15</v>
      </c>
      <c r="I1000" s="1" t="s">
        <v>23</v>
      </c>
      <c r="J1000" s="1" t="s">
        <v>34</v>
      </c>
      <c r="K1000" s="1" t="s">
        <v>25</v>
      </c>
      <c r="L1000" s="5" t="s">
        <v>54</v>
      </c>
      <c r="M1000" s="1" t="s">
        <v>41</v>
      </c>
      <c r="N1000" s="1" t="str">
        <f>YEAR(sales_data[[#This Row],[Date]]) &amp; "-" &amp; TEXT(MONTH(sales_data[[#This Row],[Date]]), "00")</f>
        <v>2024-09</v>
      </c>
      <c r="O1000" s="1">
        <f xml:space="preserve"> (sales_data[[#This Row],[Sales]]* (100 - sales_data[[#This Row],[Discount]]))/100</f>
        <v>13380.681152650141</v>
      </c>
    </row>
    <row r="1001" spans="1:15" x14ac:dyDescent="0.5">
      <c r="A1001" s="1" t="s">
        <v>768</v>
      </c>
      <c r="B1001" s="1" t="s">
        <v>29</v>
      </c>
      <c r="C1001">
        <v>29570.156769333898</v>
      </c>
      <c r="D1001">
        <v>0</v>
      </c>
      <c r="E1001" s="2">
        <v>45565</v>
      </c>
      <c r="F1001" s="1">
        <v>109</v>
      </c>
      <c r="G1001" s="1">
        <v>71</v>
      </c>
      <c r="H1001" s="1" t="s">
        <v>15</v>
      </c>
      <c r="I1001" s="1" t="s">
        <v>23</v>
      </c>
      <c r="J1001" s="1" t="s">
        <v>24</v>
      </c>
      <c r="K1001" s="1" t="s">
        <v>18</v>
      </c>
      <c r="L1001" s="5" t="s">
        <v>30</v>
      </c>
      <c r="M1001" s="1" t="s">
        <v>48</v>
      </c>
      <c r="N1001" s="1" t="str">
        <f>YEAR(sales_data[[#This Row],[Date]]) &amp; "-" &amp; TEXT(MONTH(sales_data[[#This Row],[Date]]), "00")</f>
        <v>2024-09</v>
      </c>
      <c r="O1001" s="1">
        <f xml:space="preserve"> (sales_data[[#This Row],[Sales]]* (100 - sales_data[[#This Row],[Discount]]))/100</f>
        <v>29570.156769333895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696211-6C44-41C8-BD55-91C4E654F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Выручка по категориям</vt:lpstr>
      <vt:lpstr>Общая выручка</vt:lpstr>
      <vt:lpstr>Топ-5 продуктов</vt:lpstr>
      <vt:lpstr>Продажи по месяцам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Регина Трухина</dc:creator>
  <cp:lastModifiedBy>Регина Трухина</cp:lastModifiedBy>
  <dcterms:created xsi:type="dcterms:W3CDTF">2026-04-26T17:11:38Z</dcterms:created>
  <dcterms:modified xsi:type="dcterms:W3CDTF">2026-04-27T13:59:44Z</dcterms:modified>
</cp:coreProperties>
</file>